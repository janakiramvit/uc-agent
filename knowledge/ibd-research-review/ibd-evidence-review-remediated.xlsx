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826b95c41eb4c61" /></Relationships>
</file>

<file path=xl/workbook.xml><?xml version="1.0" encoding="utf-8"?>
<x:workbook xmlns:x="http://schemas.openxmlformats.org/spreadsheetml/2006/main">
  <x:sheets>
    <x:sheet xmlns:r="http://schemas.openxmlformats.org/officeDocument/2006/relationships" name="Sources" sheetId="1" r:id="R7904a930be704b58"/>
    <x:sheet xmlns:r="http://schemas.openxmlformats.org/officeDocument/2006/relationships" name="Claims" sheetId="2" r:id="R04c70fd833734e9f"/>
    <x:sheet xmlns:r="http://schemas.openxmlformats.org/officeDocument/2006/relationships" name="Source Mapping Audit" sheetId="3" r:id="Rf8b1a1aa7119489f"/>
    <x:sheet xmlns:r="http://schemas.openxmlformats.org/officeDocument/2006/relationships" name="Removed and Replaced Claims" sheetId="4" r:id="R584a04aa5d3c4158"/>
    <x:sheet xmlns:r="http://schemas.openxmlformats.org/officeDocument/2006/relationships" name="Superseded Sources" sheetId="5" r:id="Rde9a7e9116ca4c62"/>
    <x:sheet xmlns:r="http://schemas.openxmlformats.org/officeDocument/2006/relationships" name="Evidence Gap Resolution" sheetId="6" r:id="R90b660de49de490b"/>
    <x:sheet xmlns:r="http://schemas.openxmlformats.org/officeDocument/2006/relationships" name="Verification and Access Issues" sheetId="7" r:id="R1ac04aa9afb14845"/>
    <x:sheet xmlns:r="http://schemas.openxmlformats.org/officeDocument/2006/relationships" name="Remediation Summary" sheetId="8" r:id="Rce77dc9162e04f0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11">
    <x:font>
      <x:sz val="11"/>
      <x:name val="Carlito"/>
    </x:font>
    <x:font>
      <x:b/>
      <x:sz val="16"/>
      <x:color rgb="FFFFFFFF"/>
      <x:name val="Carlito"/>
    </x:font>
    <x:font>
      <x:i/>
      <x:sz val="10"/>
      <x:color rgb="FF1F2937"/>
      <x:name val="Carlito"/>
    </x:font>
    <x:font>
      <x:b/>
      <x:sz val="10"/>
      <x:color rgb="FFFFFFFF"/>
      <x:name val="Carlito"/>
    </x:font>
    <x:font>
      <x:sz val="9"/>
      <x:color rgb="FF1F2937"/>
      <x:name val="Carlito"/>
    </x:font>
    <x:font>
      <x:b/>
      <x:sz val="18"/>
      <x:color rgb="FFFFFFFF"/>
      <x:name val="Carlito"/>
    </x:font>
    <x:font>
      <x:i/>
      <x:sz val="11"/>
      <x:color rgb="FF1F2937"/>
      <x:name val="Carlito"/>
    </x:font>
    <x:font>
      <x:b/>
      <x:sz val="11"/>
      <x:color rgb="FFFFFFFF"/>
      <x:name val="Carlito"/>
    </x:font>
    <x:font>
      <x:b/>
      <x:sz val="11"/>
      <x:color rgb="FF17324D"/>
      <x:name val="Carlito"/>
    </x:font>
    <x:font>
      <x:b/>
      <x:sz val="12"/>
      <x:color rgb="FF17324D"/>
      <x:name val="Carlito"/>
    </x:font>
    <x:font>
      <x:b/>
      <x:sz val="11"/>
      <x:color rgb="FF842029"/>
      <x:name val="Carlito"/>
    </x:font>
  </x:fonts>
  <x:fills count="8">
    <x:fill>
      <x:patternFill patternType="none"/>
    </x:fill>
    <x:fill>
      <x:patternFill patternType="gray125"/>
    </x:fill>
    <x:fill>
      <x:patternFill patternType="solid">
        <x:fgColor rgb="FF17324D"/>
      </x:patternFill>
    </x:fill>
    <x:fill>
      <x:patternFill patternType="solid">
        <x:fgColor rgb="FFEAF3F4"/>
      </x:patternFill>
    </x:fill>
    <x:fill>
      <x:patternFill patternType="solid">
        <x:fgColor rgb="FF2E6882"/>
      </x:patternFill>
    </x:fill>
    <x:fill>
      <x:patternFill patternType="solid">
        <x:fgColor rgb="FFFFF2B2"/>
      </x:patternFill>
    </x:fill>
    <x:fill>
      <x:patternFill patternType="solid">
        <x:fgColor rgb="FFF7F3EA"/>
      </x:patternFill>
    </x:fill>
    <x:fill>
      <x:patternFill patternType="solid">
        <x:fgColor rgb="FFF8D7DA"/>
      </x:patternFill>
    </x:fill>
  </x:fills>
  <x:borders count="7">
    <x:border/>
    <x:border>
      <x:left style="thin">
        <x:color rgb="FF17324D"/>
      </x:left>
      <x:top style="thin">
        <x:color rgb="FF17324D"/>
      </x:top>
      <x:bottom style="thin">
        <x:color rgb="FF17324D"/>
      </x:bottom>
    </x:border>
    <x:border>
      <x:top style="thin">
        <x:color rgb="FF17324D"/>
      </x:top>
      <x:bottom style="thin">
        <x:color rgb="FF17324D"/>
      </x:bottom>
    </x:border>
    <x:border>
      <x:right style="thin">
        <x:color rgb="FF17324D"/>
      </x:right>
      <x:top style="thin">
        <x:color rgb="FF17324D"/>
      </x:top>
      <x:bottom style="thin">
        <x:color rgb="FF17324D"/>
      </x:bottom>
    </x:border>
    <x:border>
      <x:bottom style="thin">
        <x:color rgb="FFD6DEE5"/>
      </x:bottom>
    </x:border>
    <x:border>
      <x:top style="thin">
        <x:color rgb="FFD6DEE5"/>
      </x:top>
      <x:bottom style="thin">
        <x:color rgb="FFD6DEE5"/>
      </x:bottom>
    </x:border>
    <x:border>
      <x:top style="thin">
        <x:color rgb="FFD6DEE5"/>
      </x:top>
    </x:border>
  </x:borders>
  <x:cellStyleXfs count="1">
    <x:xf numFmtId="0" fontId="0" fillId="0" borderId="0"/>
  </x:cellStyleXfs>
  <x:cellXfs count="6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1" xfId="0" applyNumberFormat="1" applyFont="1" applyFill="1" applyBorder="1" applyAlignment="1">
      <x:alignment wrapText="1"/>
    </x:xf>
    <x:xf numFmtId="0" fontId="3" fillId="4" borderId="2" xfId="0" applyNumberFormat="1" applyFont="1" applyFill="1" applyBorder="1" applyAlignment="1">
      <x:alignment wrapText="1"/>
    </x:xf>
    <x:xf numFmtId="0" fontId="3" fillId="4" borderId="3" xfId="0" applyNumberFormat="1" applyFont="1" applyFill="1" applyBorder="1" applyAlignment="1">
      <x:alignment wrapText="1"/>
    </x:xf>
    <x:xf numFmtId="0" fontId="3" fillId="4" borderId="1" xfId="0" applyNumberFormat="1" applyFont="1" applyFill="1" applyBorder="1" applyAlignment="1">
      <x:alignment vertical="center" wrapText="1"/>
    </x:xf>
    <x:xf numFmtId="0" fontId="3" fillId="4" borderId="2" xfId="0" applyNumberFormat="1" applyFont="1" applyFill="1" applyBorder="1" applyAlignment="1">
      <x:alignment vertical="center" wrapText="1"/>
    </x:xf>
    <x:xf numFmtId="0" fontId="3" fillId="4" borderId="3" xfId="0" applyNumberFormat="1" applyFont="1" applyFill="1" applyBorder="1" applyAlignment="1">
      <x:alignment vertical="center" wrapText="1"/>
    </x:xf>
    <x:xf numFmtId="0" fontId="4" fillId="0" borderId="0" xfId="0" applyNumberFormat="1" applyFont="1" applyFill="1" applyBorder="1"/>
    <x:xf numFmtId="0" fontId="4" fillId="0" borderId="4" xfId="0" applyNumberFormat="1" applyFont="1" applyFill="1" applyBorder="1"/>
    <x:xf numFmtId="0" fontId="4" fillId="0" borderId="5" xfId="0" applyNumberFormat="1" applyFont="1" applyFill="1" applyBorder="1"/>
    <x:xf numFmtId="0" fontId="4" fillId="0" borderId="6" xfId="0" applyNumberFormat="1" applyFont="1" applyFill="1" applyBorder="1"/>
    <x:xf numFmtId="0" fontId="4" fillId="0" borderId="4" xfId="0" applyNumberFormat="1" applyFont="1" applyFill="1" applyBorder="1" applyAlignment="1">
      <x:alignment wrapText="1"/>
    </x:xf>
    <x:xf numFmtId="0" fontId="4" fillId="0" borderId="5" xfId="0" applyNumberFormat="1" applyFont="1" applyFill="1" applyBorder="1" applyAlignment="1">
      <x:alignment wrapText="1"/>
    </x:xf>
    <x:xf numFmtId="0" fontId="4" fillId="0" borderId="6" xfId="0" applyNumberFormat="1" applyFont="1" applyFill="1" applyBorder="1" applyAlignment="1">
      <x:alignment wrapText="1"/>
    </x:xf>
    <x:xf numFmtId="0" fontId="4" fillId="0" borderId="4" xfId="0" applyNumberFormat="1" applyFont="1" applyFill="1" applyBorder="1" applyAlignment="1">
      <x:alignment vertical="top" wrapText="1"/>
    </x:xf>
    <x:xf numFmtId="0" fontId="4" fillId="0" borderId="5" xfId="0" applyNumberFormat="1" applyFont="1" applyFill="1" applyBorder="1" applyAlignment="1">
      <x:alignment vertical="top" wrapText="1"/>
    </x:xf>
    <x:xf numFmtId="0" fontId="4" fillId="0" borderId="6"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5" fillId="2" borderId="0" xfId="0" applyNumberFormat="1" applyFont="1" applyFill="1" applyBorder="1"/>
    <x:xf numFmtId="0" fontId="6" fillId="3" borderId="0" xfId="0" applyNumberFormat="1" applyFont="1" applyFill="1" applyBorder="1"/>
    <x:xf numFmtId="0" fontId="6" fillId="3" borderId="0" xfId="0" applyNumberFormat="1" applyFont="1" applyFill="1" applyBorder="1" applyAlignment="1">
      <x:alignment wrapText="1"/>
    </x:xf>
    <x:xf numFmtId="0" fontId="7" fillId="4" borderId="0"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4" xfId="0" applyNumberFormat="1" applyFont="1" applyFill="1" applyBorder="1" applyAlignment="1">
      <x:alignment vertical="center" wrapText="1"/>
    </x:xf>
    <x:xf numFmtId="0" fontId="0" fillId="0" borderId="5" xfId="0" applyNumberFormat="1" applyFont="1" applyFill="1" applyBorder="1" applyAlignment="1">
      <x:alignment vertical="center" wrapText="1"/>
    </x:xf>
    <x:xf numFmtId="0" fontId="0" fillId="0" borderId="6" xfId="0" applyNumberFormat="1" applyFont="1" applyFill="1" applyBorder="1" applyAlignment="1">
      <x:alignment vertical="center" wrapText="1"/>
    </x:xf>
    <x:xf numFmtId="0" fontId="8" fillId="0" borderId="4" xfId="0" applyNumberFormat="1" applyFont="1" applyFill="1" applyBorder="1" applyAlignment="1">
      <x:alignment vertical="center" wrapText="1"/>
    </x:xf>
    <x:xf numFmtId="0" fontId="8" fillId="0" borderId="5" xfId="0" applyNumberFormat="1" applyFont="1" applyFill="1" applyBorder="1" applyAlignment="1">
      <x:alignment vertical="center" wrapText="1"/>
    </x:xf>
    <x:xf numFmtId="0" fontId="8" fillId="0" borderId="6" xfId="0" applyNumberFormat="1" applyFont="1" applyFill="1" applyBorder="1" applyAlignment="1">
      <x:alignment vertical="center" wrapText="1"/>
    </x:xf>
    <x:xf numFmtId="0" fontId="0" fillId="6" borderId="4" xfId="0" applyNumberFormat="1" applyFont="1" applyFill="1" applyBorder="1" applyAlignment="1">
      <x:alignment vertical="center" wrapText="1"/>
    </x:xf>
    <x:xf numFmtId="0" fontId="0" fillId="6" borderId="5" xfId="0" applyNumberFormat="1" applyFont="1" applyFill="1" applyBorder="1" applyAlignment="1">
      <x:alignment vertical="center" wrapText="1"/>
    </x:xf>
    <x:xf numFmtId="0" fontId="0" fillId="6" borderId="6" xfId="0" applyNumberFormat="1" applyFont="1" applyFill="1" applyBorder="1" applyAlignment="1">
      <x:alignment vertical="center" wrapText="1"/>
    </x:xf>
    <x:xf numFmtId="0" fontId="9" fillId="6" borderId="4" xfId="0" applyNumberFormat="1" applyFont="1" applyFill="1" applyBorder="1" applyAlignment="1">
      <x:alignment vertical="center" wrapText="1"/>
    </x:xf>
    <x:xf numFmtId="0" fontId="9" fillId="6" borderId="5" xfId="0" applyNumberFormat="1" applyFont="1" applyFill="1" applyBorder="1" applyAlignment="1">
      <x:alignment vertical="center" wrapText="1"/>
    </x:xf>
    <x:xf numFmtId="0" fontId="9" fillId="6" borderId="6" xfId="0" applyNumberFormat="1" applyFont="1" applyFill="1" applyBorder="1" applyAlignment="1">
      <x:alignment vertical="center" wrapText="1"/>
    </x:xf>
    <x:xf numFmtId="200" fontId="9" fillId="6" borderId="4" xfId="0" applyNumberFormat="1" applyFont="1" applyFill="1" applyBorder="1" applyAlignment="1">
      <x:alignment vertical="center" wrapText="1"/>
    </x:xf>
    <x:xf numFmtId="200" fontId="9" fillId="6" borderId="5" xfId="0" applyNumberFormat="1" applyFont="1" applyFill="1" applyBorder="1" applyAlignment="1">
      <x:alignment vertical="center" wrapText="1"/>
    </x:xf>
    <x:xf numFmtId="200" fontId="9" fillId="6" borderId="6" xfId="0" applyNumberFormat="1" applyFont="1" applyFill="1" applyBorder="1" applyAlignment="1">
      <x:alignment vertical="center" wrapText="1"/>
    </x:xf>
    <x:xf numFmtId="0" fontId="0" fillId="7" borderId="0" xfId="0" applyNumberFormat="1" applyFont="1" applyFill="1" applyBorder="1"/>
    <x:xf numFmtId="0" fontId="10" fillId="7" borderId="0" xfId="0" applyNumberFormat="1" applyFont="1" applyFill="1" applyBorder="1"/>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cellXfs>
  <x:cellStyles count="1">
    <x:cellStyle name="Normal" xfId="0"/>
  </x:cellStyles>
  <x:dxfs count="49">
    <x:dxf>
      <x:font>
        <x:b/>
        <x:color rgb="FF155724"/>
      </x:font>
      <x:fill>
        <x:patternFill patternType="solid">
          <x:bgColor rgb="FFDDEFE2"/>
        </x:patternFill>
      </x:fill>
    </x:dxf>
    <x:dxf>
      <x:font>
        <x:b/>
        <x:color rgb="FF155724"/>
      </x:font>
      <x:fill>
        <x:patternFill patternType="solid">
          <x:bgColor rgb="FFDDEFE2"/>
        </x:patternFill>
      </x:fill>
    </x:dxf>
    <x:dxf>
      <x:font>
        <x:b/>
        <x:color rgb="FF7A4A00"/>
      </x:font>
      <x:fill>
        <x:patternFill patternType="solid">
          <x:bgColor rgb="FFFCE5B3"/>
        </x:patternFill>
      </x:fill>
    </x:dxf>
    <x:dxf>
      <x:font>
        <x:b/>
        <x:color rgb="FF7A4A00"/>
      </x:font>
      <x:fill>
        <x:patternFill patternType="solid">
          <x:bgColor rgb="FFFCE5B3"/>
        </x:patternFill>
      </x:fill>
    </x:dxf>
    <x:dxf>
      <x:font>
        <x:b/>
        <x:color rgb="FF842029"/>
      </x:font>
      <x:fill>
        <x:patternFill patternType="solid">
          <x:bgColor rgb="FFF8D7DA"/>
        </x:patternFill>
      </x:fill>
    </x:dxf>
    <x:dxf>
      <x:font>
        <x:b/>
        <x:color rgb="FF842029"/>
      </x:font>
      <x:fill>
        <x:patternFill patternType="solid">
          <x:bgColor rgb="FFF8D7DA"/>
        </x:patternFill>
      </x:fill>
    </x:dxf>
    <x:dxf>
      <x:font>
        <x:b/>
        <x:color rgb="FF842029"/>
      </x:font>
      <x:fill>
        <x:patternFill patternType="solid">
          <x:bgColor rgb="FFF8D7DA"/>
        </x:patternFill>
      </x:fill>
    </x:dxf>
    <x:dxf>
      <x:font>
        <x:b/>
        <x:color rgb="FF155724"/>
      </x:font>
      <x:fill>
        <x:patternFill patternType="solid">
          <x:bgColor rgb="FFDDEFE2"/>
        </x:patternFill>
      </x:fill>
    </x:dxf>
    <x:dxf>
      <x:font>
        <x:b/>
        <x:color rgb="FF155724"/>
      </x:font>
      <x:fill>
        <x:patternFill patternType="solid">
          <x:bgColor rgb="FFDDEFE2"/>
        </x:patternFill>
      </x:fill>
    </x:dxf>
    <x:dxf>
      <x:font>
        <x:b/>
        <x:color rgb="FF7A4A00"/>
      </x:font>
      <x:fill>
        <x:patternFill patternType="solid">
          <x:bgColor rgb="FFFCE5B3"/>
        </x:patternFill>
      </x:fill>
    </x:dxf>
    <x:dxf>
      <x:font>
        <x:b/>
        <x:color rgb="FF7A4A00"/>
      </x:font>
      <x:fill>
        <x:patternFill patternType="solid">
          <x:bgColor rgb="FFFCE5B3"/>
        </x:patternFill>
      </x:fill>
    </x:dxf>
    <x:dxf>
      <x:font>
        <x:b/>
        <x:color rgb="FF842029"/>
      </x:font>
      <x:fill>
        <x:patternFill patternType="solid">
          <x:bgColor rgb="FFF8D7DA"/>
        </x:patternFill>
      </x:fill>
    </x:dxf>
    <x:dxf>
      <x:font>
        <x:b/>
        <x:color rgb="FF842029"/>
      </x:font>
      <x:fill>
        <x:patternFill patternType="solid">
          <x:bgColor rgb="FFF8D7DA"/>
        </x:patternFill>
      </x:fill>
    </x:dxf>
    <x:dxf>
      <x:font>
        <x:b/>
        <x:color rgb="FF842029"/>
      </x:font>
      <x:fill>
        <x:patternFill patternType="solid">
          <x:bgColor rgb="FFF8D7DA"/>
        </x:patternFill>
      </x:fill>
    </x:dxf>
    <x:dxf>
      <x:font>
        <x:b/>
        <x:color rgb="FF155724"/>
      </x:font>
      <x:fill>
        <x:patternFill patternType="solid">
          <x:bgColor rgb="FFDDEFE2"/>
        </x:patternFill>
      </x:fill>
    </x:dxf>
    <x:dxf>
      <x:font>
        <x:b/>
        <x:color rgb="FF155724"/>
      </x:font>
      <x:fill>
        <x:patternFill patternType="solid">
          <x:bgColor rgb="FFDDEFE2"/>
        </x:patternFill>
      </x:fill>
    </x:dxf>
    <x:dxf>
      <x:font>
        <x:b/>
        <x:color rgb="FF7A4A00"/>
      </x:font>
      <x:fill>
        <x:patternFill patternType="solid">
          <x:bgColor rgb="FFFCE5B3"/>
        </x:patternFill>
      </x:fill>
    </x:dxf>
    <x:dxf>
      <x:font>
        <x:b/>
        <x:color rgb="FF7A4A00"/>
      </x:font>
      <x:fill>
        <x:patternFill patternType="solid">
          <x:bgColor rgb="FFFCE5B3"/>
        </x:patternFill>
      </x:fill>
    </x:dxf>
    <x:dxf>
      <x:font>
        <x:b/>
        <x:color rgb="FF842029"/>
      </x:font>
      <x:fill>
        <x:patternFill patternType="solid">
          <x:bgColor rgb="FFF8D7DA"/>
        </x:patternFill>
      </x:fill>
    </x:dxf>
    <x:dxf>
      <x:font>
        <x:b/>
        <x:color rgb="FF842029"/>
      </x:font>
      <x:fill>
        <x:patternFill patternType="solid">
          <x:bgColor rgb="FFF8D7DA"/>
        </x:patternFill>
      </x:fill>
    </x:dxf>
    <x:dxf>
      <x:font>
        <x:b/>
        <x:color rgb="FF842029"/>
      </x:font>
      <x:fill>
        <x:patternFill patternType="solid">
          <x:bgColor rgb="FFF8D7DA"/>
        </x:patternFill>
      </x:fill>
    </x:dxf>
    <x:dxf>
      <x:font>
        <x:b/>
        <x:color rgb="FF155724"/>
      </x:font>
      <x:fill>
        <x:patternFill patternType="solid">
          <x:bgColor rgb="FFDDEFE2"/>
        </x:patternFill>
      </x:fill>
    </x:dxf>
    <x:dxf>
      <x:font>
        <x:b/>
        <x:color rgb="FF155724"/>
      </x:font>
      <x:fill>
        <x:patternFill patternType="solid">
          <x:bgColor rgb="FFDDEFE2"/>
        </x:patternFill>
      </x:fill>
    </x:dxf>
    <x:dxf>
      <x:font>
        <x:b/>
        <x:color rgb="FF7A4A00"/>
      </x:font>
      <x:fill>
        <x:patternFill patternType="solid">
          <x:bgColor rgb="FFFCE5B3"/>
        </x:patternFill>
      </x:fill>
    </x:dxf>
    <x:dxf>
      <x:font>
        <x:b/>
        <x:color rgb="FF7A4A00"/>
      </x:font>
      <x:fill>
        <x:patternFill patternType="solid">
          <x:bgColor rgb="FFFCE5B3"/>
        </x:patternFill>
      </x:fill>
    </x:dxf>
    <x:dxf>
      <x:font>
        <x:b/>
        <x:color rgb="FF842029"/>
      </x:font>
      <x:fill>
        <x:patternFill patternType="solid">
          <x:bgColor rgb="FFF8D7DA"/>
        </x:patternFill>
      </x:fill>
    </x:dxf>
    <x:dxf>
      <x:font>
        <x:b/>
        <x:color rgb="FF842029"/>
      </x:font>
      <x:fill>
        <x:patternFill patternType="solid">
          <x:bgColor rgb="FFF8D7DA"/>
        </x:patternFill>
      </x:fill>
    </x:dxf>
    <x:dxf>
      <x:font>
        <x:b/>
        <x:color rgb="FF842029"/>
      </x:font>
      <x:fill>
        <x:patternFill patternType="solid">
          <x:bgColor rgb="FFF8D7DA"/>
        </x:patternFill>
      </x:fill>
    </x:dxf>
    <x:dxf>
      <x:font>
        <x:b/>
        <x:color rgb="FF155724"/>
      </x:font>
      <x:fill>
        <x:patternFill patternType="solid">
          <x:bgColor rgb="FFDDEFE2"/>
        </x:patternFill>
      </x:fill>
    </x:dxf>
    <x:dxf>
      <x:font>
        <x:b/>
        <x:color rgb="FF155724"/>
      </x:font>
      <x:fill>
        <x:patternFill patternType="solid">
          <x:bgColor rgb="FFDDEFE2"/>
        </x:patternFill>
      </x:fill>
    </x:dxf>
    <x:dxf>
      <x:font>
        <x:b/>
        <x:color rgb="FF7A4A00"/>
      </x:font>
      <x:fill>
        <x:patternFill patternType="solid">
          <x:bgColor rgb="FFFCE5B3"/>
        </x:patternFill>
      </x:fill>
    </x:dxf>
    <x:dxf>
      <x:font>
        <x:b/>
        <x:color rgb="FF7A4A00"/>
      </x:font>
      <x:fill>
        <x:patternFill patternType="solid">
          <x:bgColor rgb="FFFCE5B3"/>
        </x:patternFill>
      </x:fill>
    </x:dxf>
    <x:dxf>
      <x:font>
        <x:b/>
        <x:color rgb="FF842029"/>
      </x:font>
      <x:fill>
        <x:patternFill patternType="solid">
          <x:bgColor rgb="FFF8D7DA"/>
        </x:patternFill>
      </x:fill>
    </x:dxf>
    <x:dxf>
      <x:font>
        <x:b/>
        <x:color rgb="FF842029"/>
      </x:font>
      <x:fill>
        <x:patternFill patternType="solid">
          <x:bgColor rgb="FFF8D7DA"/>
        </x:patternFill>
      </x:fill>
    </x:dxf>
    <x:dxf>
      <x:font>
        <x:b/>
        <x:color rgb="FF842029"/>
      </x:font>
      <x:fill>
        <x:patternFill patternType="solid">
          <x:bgColor rgb="FFF8D7DA"/>
        </x:patternFill>
      </x:fill>
    </x:dxf>
    <x:dxf>
      <x:font>
        <x:b/>
        <x:color rgb="FF155724"/>
      </x:font>
      <x:fill>
        <x:patternFill patternType="solid">
          <x:bgColor rgb="FFDDEFE2"/>
        </x:patternFill>
      </x:fill>
    </x:dxf>
    <x:dxf>
      <x:font>
        <x:b/>
        <x:color rgb="FF155724"/>
      </x:font>
      <x:fill>
        <x:patternFill patternType="solid">
          <x:bgColor rgb="FFDDEFE2"/>
        </x:patternFill>
      </x:fill>
    </x:dxf>
    <x:dxf>
      <x:font>
        <x:b/>
        <x:color rgb="FF7A4A00"/>
      </x:font>
      <x:fill>
        <x:patternFill patternType="solid">
          <x:bgColor rgb="FFFCE5B3"/>
        </x:patternFill>
      </x:fill>
    </x:dxf>
    <x:dxf>
      <x:font>
        <x:b/>
        <x:color rgb="FF7A4A00"/>
      </x:font>
      <x:fill>
        <x:patternFill patternType="solid">
          <x:bgColor rgb="FFFCE5B3"/>
        </x:patternFill>
      </x:fill>
    </x:dxf>
    <x:dxf>
      <x:font>
        <x:b/>
        <x:color rgb="FF842029"/>
      </x:font>
      <x:fill>
        <x:patternFill patternType="solid">
          <x:bgColor rgb="FFF8D7DA"/>
        </x:patternFill>
      </x:fill>
    </x:dxf>
    <x:dxf>
      <x:font>
        <x:b/>
        <x:color rgb="FF842029"/>
      </x:font>
      <x:fill>
        <x:patternFill patternType="solid">
          <x:bgColor rgb="FFF8D7DA"/>
        </x:patternFill>
      </x:fill>
    </x:dxf>
    <x:dxf>
      <x:font>
        <x:b/>
        <x:color rgb="FF842029"/>
      </x:font>
      <x:fill>
        <x:patternFill patternType="solid">
          <x:bgColor rgb="FFF8D7DA"/>
        </x:patternFill>
      </x:fill>
    </x:dxf>
    <x:dxf>
      <x:font>
        <x:b/>
        <x:color rgb="FF155724"/>
      </x:font>
      <x:fill>
        <x:patternFill patternType="solid">
          <x:bgColor rgb="FFDDEFE2"/>
        </x:patternFill>
      </x:fill>
    </x:dxf>
    <x:dxf>
      <x:font>
        <x:b/>
        <x:color rgb="FF155724"/>
      </x:font>
      <x:fill>
        <x:patternFill patternType="solid">
          <x:bgColor rgb="FFDDEFE2"/>
        </x:patternFill>
      </x:fill>
    </x:dxf>
    <x:dxf>
      <x:font>
        <x:b/>
        <x:color rgb="FF7A4A00"/>
      </x:font>
      <x:fill>
        <x:patternFill patternType="solid">
          <x:bgColor rgb="FFFCE5B3"/>
        </x:patternFill>
      </x:fill>
    </x:dxf>
    <x:dxf>
      <x:font>
        <x:b/>
        <x:color rgb="FF7A4A00"/>
      </x:font>
      <x:fill>
        <x:patternFill patternType="solid">
          <x:bgColor rgb="FFFCE5B3"/>
        </x:patternFill>
      </x:fill>
    </x:dxf>
    <x:dxf>
      <x:font>
        <x:b/>
        <x:color rgb="FF842029"/>
      </x:font>
      <x:fill>
        <x:patternFill patternType="solid">
          <x:bgColor rgb="FFF8D7DA"/>
        </x:patternFill>
      </x:fill>
    </x:dxf>
    <x:dxf>
      <x:font>
        <x:b/>
        <x:color rgb="FF842029"/>
      </x:font>
      <x:fill>
        <x:patternFill patternType="solid">
          <x:bgColor rgb="FFF8D7DA"/>
        </x:patternFill>
      </x:fill>
    </x:dxf>
    <x:dxf>
      <x:font>
        <x:b/>
        <x:color rgb="FF842029"/>
      </x:font>
      <x:fill>
        <x:patternFill patternType="solid">
          <x:bgColor rgb="FFF8D7D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3f6dfd46a4c455c" /><Relationship Type="http://schemas.openxmlformats.org/officeDocument/2006/relationships/theme" Target="/xl/theme/theme1.xml" Id="R724873cdf8ce4838" /><Relationship Type="http://schemas.openxmlformats.org/officeDocument/2006/relationships/sharedStrings" Target="/xl/sharedStrings.xml" Id="R976672c358434a1c" /><Relationship Type="http://schemas.openxmlformats.org/officeDocument/2006/relationships/worksheet" Target="/xl/worksheets/sheet1.xml" Id="R7904a930be704b58" /><Relationship Type="http://schemas.openxmlformats.org/officeDocument/2006/relationships/worksheet" Target="/xl/worksheets/sheet2.xml" Id="R04c70fd833734e9f" /><Relationship Type="http://schemas.openxmlformats.org/officeDocument/2006/relationships/worksheet" Target="/xl/worksheets/sheet3.xml" Id="Rf8b1a1aa7119489f" /><Relationship Type="http://schemas.openxmlformats.org/officeDocument/2006/relationships/worksheet" Target="/xl/worksheets/sheet4.xml" Id="R584a04aa5d3c4158" /><Relationship Type="http://schemas.openxmlformats.org/officeDocument/2006/relationships/worksheet" Target="/xl/worksheets/sheet5.xml" Id="Rde9a7e9116ca4c62" /><Relationship Type="http://schemas.openxmlformats.org/officeDocument/2006/relationships/worksheet" Target="/xl/worksheets/sheet6.xml" Id="R90b660de49de490b" /><Relationship Type="http://schemas.openxmlformats.org/officeDocument/2006/relationships/worksheet" Target="/xl/worksheets/sheet7.xml" Id="R1ac04aa9afb14845" /><Relationship Type="http://schemas.openxmlformats.org/officeDocument/2006/relationships/worksheet" Target="/xl/worksheets/sheet8.xml" Id="Rce77dc9162e04f04" /></Relationships>
</file>

<file path=xl/tables/table1.xml><?xml version="1.0" encoding="utf-8"?>
<x:table xmlns:x="http://schemas.openxmlformats.org/spreadsheetml/2006/main" id="1" name="SourcesTable" displayName="SourcesTable" ref="A4:AC30" headerRowCount="1" totalsRowCount="0" totalsRowShown="0">
  <x:autoFilter ref="A4:AC30"/>
  <x:tableColumns count="29">
    <x:tableColumn id="1" name="Source ID"/>
    <x:tableColumn id="2" name="Source status"/>
    <x:tableColumn id="3" name="Source title"/>
    <x:tableColumn id="4" name="Source type"/>
    <x:tableColumn id="5" name="Authors"/>
    <x:tableColumn id="6" name="Issuing organisation"/>
    <x:tableColumn id="7" name="Journal"/>
    <x:tableColumn id="8" name="Year"/>
    <x:tableColumn id="9" name="Source URL"/>
    <x:tableColumn id="10" name="Canonical URL"/>
    <x:tableColumn id="11" name="Corrected PMID"/>
    <x:tableColumn id="12" name="Corrected PMCID"/>
    <x:tableColumn id="13" name="Corrected DOI"/>
    <x:tableColumn id="14" name="Full-text verification"/>
    <x:tableColumn id="15" name="Authoritative access URL"/>
    <x:tableColumn id="16" name="Superseded by"/>
    <x:tableColumn id="17" name="Condition applicability"/>
    <x:tableColumn id="18" name="Disease context"/>
    <x:tableColumn id="19" name="Study type"/>
    <x:tableColumn id="20" name="Population"/>
    <x:tableColumn id="21" name="Main relevant finding"/>
    <x:tableColumn id="22" name="Evidence/reliability limitations"/>
    <x:tableColumn id="23" name="Access/licensing note"/>
    <x:tableColumn id="24" name="Region assessed"/>
    <x:tableColumn id="25" name="Canada/US applicability"/>
    <x:tableColumn id="26" name="Regional assessment"/>
    <x:tableColumn id="27" name="Review status"/>
    <x:tableColumn id="28" name="User decision"/>
    <x:tableColumn id="29" name="User notes"/>
  </x:tableColumns>
  <x:tableStyleInfo name="TableStyleMedium2" showFirstColumn="0" showLastColumn="0" showRowStripes="1" showColumnStripes="0"/>
</x:table>
</file>

<file path=xl/tables/table2.xml><?xml version="1.0" encoding="utf-8"?>
<x:table xmlns:x="http://schemas.openxmlformats.org/spreadsheetml/2006/main" id="2" name="ClaimsTable" displayName="ClaimsTable" ref="A4:AB62" headerRowCount="1" totalsRowCount="0" totalsRowShown="0">
  <x:autoFilter ref="A4:AB62"/>
  <x:tableColumns count="28">
    <x:tableColumn id="1" name="Claim ID"/>
    <x:tableColumn id="2" name="Source ID"/>
    <x:tableColumn id="3" name="Replaces claim"/>
    <x:tableColumn id="4" name="Source title"/>
    <x:tableColumn id="5" name="Topic"/>
    <x:tableColumn id="6" name="Condition applicability"/>
    <x:tableColumn id="7" name="Disease context"/>
    <x:tableColumn id="8" name="Original claim"/>
    <x:tableColumn id="9" name="QA proposed claim"/>
    <x:tableColumn id="10" name="Remediated claim"/>
    <x:tableColumn id="11" name="Remediation reason"/>
    <x:tableColumn id="12" name="Revision reason"/>
    <x:tableColumn id="13" name="Supporting excerpt"/>
    <x:tableColumn id="14" name="Exact locator"/>
    <x:tableColumn id="15" name="Evidence level"/>
    <x:tableColumn id="16" name="Evidence strength"/>
    <x:tableColumn id="17" name="Study type"/>
    <x:tableColumn id="18" name="Population"/>
    <x:tableColumn id="19" name="Sample size"/>
    <x:tableColumn id="20" name="Limitations"/>
    <x:tableColumn id="21" name="Applicability limitations"/>
    <x:tableColumn id="22" name="Canada/US applicability"/>
    <x:tableColumn id="23" name="Confidence"/>
    <x:tableColumn id="24" name="Evidence status"/>
    <x:tableColumn id="25" name="Review status"/>
    <x:tableColumn id="26" name="User decision"/>
    <x:tableColumn id="27" name="User-edited claim"/>
    <x:tableColumn id="28" name="Reviewer notes"/>
  </x:tableColumns>
  <x:tableStyleInfo name="TableStyleMedium2" showFirstColumn="0" showLastColumn="0" showRowStripes="1" showColumnStripes="0"/>
</x:table>
</file>

<file path=xl/tables/table3.xml><?xml version="1.0" encoding="utf-8"?>
<x:table xmlns:x="http://schemas.openxmlformats.org/spreadsheetml/2006/main" id="3" name="SourceMappingAuditTable" displayName="SourceMappingAuditTable" ref="A4:R15" headerRowCount="1" totalsRowCount="0" totalsRowShown="0">
  <x:autoFilter ref="A4:R15"/>
  <x:tableColumns count="18">
    <x:tableColumn id="1" name="Source ID"/>
    <x:tableColumn id="2" name="PMID"/>
    <x:tableColumn id="3" name="Verified title"/>
    <x:tableColumn id="4" name="Verified first author"/>
    <x:tableColumn id="5" name="Year"/>
    <x:tableColumn id="6" name="Incorrect DOI"/>
    <x:tableColumn id="7" name="Incorrect PMCID"/>
    <x:tableColumn id="8" name="Corrected DOI"/>
    <x:tableColumn id="9" name="Corrected PMCID"/>
    <x:tableColumn id="10" name="Identifier consistency"/>
    <x:tableColumn id="11" name="Title match"/>
    <x:tableColumn id="12" name="Author match"/>
    <x:tableColumn id="13" name="Year match"/>
    <x:tableColumn id="14" name="Wrong mapping rejected"/>
    <x:tableColumn id="15" name="Incorrect file archive"/>
    <x:tableColumn id="16" name="Correct public copy"/>
    <x:tableColumn id="17" name="Audit outcome"/>
    <x:tableColumn id="18" name="Review status"/>
  </x:tableColumns>
  <x:tableStyleInfo name="TableStyleMedium2" showFirstColumn="0" showLastColumn="0" showRowStripes="1" showColumnStripes="0"/>
</x:table>
</file>

<file path=xl/tables/table4.xml><?xml version="1.0" encoding="utf-8"?>
<x:table xmlns:x="http://schemas.openxmlformats.org/spreadsheetml/2006/main" id="4" name="RemovedandReplacedClaimsTable" displayName="RemovedandReplacedClaimsTable" ref="A4:I43" headerRowCount="1" totalsRowCount="0" totalsRowShown="0">
  <x:autoFilter ref="A4:I43"/>
  <x:tableColumns count="9">
    <x:tableColumn id="1" name="Original claim ID"/>
    <x:tableColumn id="2" name="Original source ID"/>
    <x:tableColumn id="3" name="Original claim"/>
    <x:tableColumn id="4" name="Accounting category"/>
    <x:tableColumn id="5" name="Replacement claim ID"/>
    <x:tableColumn id="6" name="Replacement source ID"/>
    <x:tableColumn id="7" name="Removal/replacement reason"/>
    <x:tableColumn id="8" name="Archive path"/>
    <x:tableColumn id="9" name="Review status"/>
  </x:tableColumns>
  <x:tableStyleInfo name="TableStyleMedium2" showFirstColumn="0" showLastColumn="0" showRowStripes="1" showColumnStripes="0"/>
</x:table>
</file>

<file path=xl/tables/table5.xml><?xml version="1.0" encoding="utf-8"?>
<x:table xmlns:x="http://schemas.openxmlformats.org/spreadsheetml/2006/main" id="5" name="SupersededSourcesTable" displayName="SupersededSourcesTable" ref="A4:L5" headerRowCount="1" totalsRowCount="0" totalsRowShown="0">
  <x:autoFilter ref="A4:L5"/>
  <x:tableColumns count="12">
    <x:tableColumn id="1" name="Old source ID"/>
    <x:tableColumn id="2" name="Superseded title"/>
    <x:tableColumn id="3" name="Old PMID"/>
    <x:tableColumn id="4" name="Old DOI"/>
    <x:tableColumn id="5" name="Superseded reason"/>
    <x:tableColumn id="6" name="New source ID"/>
    <x:tableColumn id="7" name="Replacement title"/>
    <x:tableColumn id="8" name="New PMID"/>
    <x:tableColumn id="9" name="New DOI"/>
    <x:tableColumn id="10" name="Old-claim disposition"/>
    <x:tableColumn id="11" name="Archive path"/>
    <x:tableColumn id="12" name="Review status"/>
  </x:tableColumns>
  <x:tableStyleInfo name="TableStyleMedium2" showFirstColumn="0" showLastColumn="0" showRowStripes="1" showColumnStripes="0"/>
</x:table>
</file>

<file path=xl/tables/table6.xml><?xml version="1.0" encoding="utf-8"?>
<x:table xmlns:x="http://schemas.openxmlformats.org/spreadsheetml/2006/main" id="6" name="EvidenceGapResolutionTable" displayName="EvidenceGapResolutionTable" ref="A4:J10" headerRowCount="1" totalsRowCount="0" totalsRowShown="0">
  <x:autoFilter ref="A4:J10"/>
  <x:tableColumns count="10">
    <x:tableColumn id="1" name="Gap ID"/>
    <x:tableColumn id="2" name="Resolution status"/>
    <x:tableColumn id="3" name="Searches"/>
    <x:tableColumn id="4" name="Candidates"/>
    <x:tableColumn id="5" name="Selected"/>
    <x:tableColumn id="6" name="Selected sources"/>
    <x:tableColumn id="7" name="Safe answer limit"/>
    <x:tableColumn id="8" name="Supporting excerpt"/>
    <x:tableColumn id="9" name="Exact locator"/>
    <x:tableColumn id="10" name="Evidence decision"/>
  </x:tableColumns>
  <x:tableStyleInfo name="TableStyleMedium2" showFirstColumn="0" showLastColumn="0" showRowStripes="1" showColumnStripes="0"/>
</x:table>
</file>

<file path=xl/tables/table7.xml><?xml version="1.0" encoding="utf-8"?>
<x:table xmlns:x="http://schemas.openxmlformats.org/spreadsheetml/2006/main" id="7" name="VerificationandAccessIssuesTable" displayName="VerificationandAccessIssuesTable" ref="A4:I19" headerRowCount="1" totalsRowCount="0" totalsRowShown="0">
  <x:autoFilter ref="A4:I19"/>
  <x:tableColumns count="9">
    <x:tableColumn id="1" name="Issue/log ID"/>
    <x:tableColumn id="2" name="Source/claim/gap ID"/>
    <x:tableColumn id="3" name="Issue type"/>
    <x:tableColumn id="4" name="Resolution status"/>
    <x:tableColumn id="5" name="Verification/query"/>
    <x:tableColumn id="6" name="Authoritative URL/candidates"/>
    <x:tableColumn id="7" name="Claim/selection handling"/>
    <x:tableColumn id="8" name="Access/licensing note"/>
    <x:tableColumn id="9" name="Review 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a0a662cb55f4b55" /></Relationships>
</file>

<file path=xl/worksheets/_rels/sheet2.xml.rels>&#65279;<?xml version="1.0" encoding="utf-8"?><Relationships xmlns="http://schemas.openxmlformats.org/package/2006/relationships"><Relationship Type="http://schemas.openxmlformats.org/officeDocument/2006/relationships/table" Target="/xl/tables/table2.xml" Id="R0ae632fb8a9c4f33" /></Relationships>
</file>

<file path=xl/worksheets/_rels/sheet3.xml.rels>&#65279;<?xml version="1.0" encoding="utf-8"?><Relationships xmlns="http://schemas.openxmlformats.org/package/2006/relationships"><Relationship Type="http://schemas.openxmlformats.org/officeDocument/2006/relationships/table" Target="/xl/tables/table3.xml" Id="R7f4325aa662c4949" /></Relationships>
</file>

<file path=xl/worksheets/_rels/sheet4.xml.rels>&#65279;<?xml version="1.0" encoding="utf-8"?><Relationships xmlns="http://schemas.openxmlformats.org/package/2006/relationships"><Relationship Type="http://schemas.openxmlformats.org/officeDocument/2006/relationships/table" Target="/xl/tables/table4.xml" Id="R8573551c75bf4631" /></Relationships>
</file>

<file path=xl/worksheets/_rels/sheet5.xml.rels>&#65279;<?xml version="1.0" encoding="utf-8"?><Relationships xmlns="http://schemas.openxmlformats.org/package/2006/relationships"><Relationship Type="http://schemas.openxmlformats.org/officeDocument/2006/relationships/table" Target="/xl/tables/table5.xml" Id="Rcd9a42ba49d64b9b" /></Relationships>
</file>

<file path=xl/worksheets/_rels/sheet6.xml.rels>&#65279;<?xml version="1.0" encoding="utf-8"?><Relationships xmlns="http://schemas.openxmlformats.org/package/2006/relationships"><Relationship Type="http://schemas.openxmlformats.org/officeDocument/2006/relationships/table" Target="/xl/tables/table6.xml" Id="R2051d6d416114b76" /></Relationships>
</file>

<file path=xl/worksheets/_rels/sheet7.xml.rels>&#65279;<?xml version="1.0" encoding="utf-8"?><Relationships xmlns="http://schemas.openxmlformats.org/package/2006/relationships"><Relationship Type="http://schemas.openxmlformats.org/officeDocument/2006/relationships/table" Target="/xl/tables/table7.xml" Id="R0921023752dc4de6" /></Relationships>
</file>

<file path=xl/worksheets/sheet1.xml><?xml version="1.0" encoding="utf-8"?>
<x:worksheet xmlns:x="http://schemas.openxmlformats.org/spreadsheetml/2006/main">
  <x:sheetViews>
    <x:sheetView showGridLines="0" workbookViewId="0"/>
  </x:sheetViews>
  <x:sheetFormatPr defaultRowHeight="15"/>
  <x:cols>
    <x:col min="1" max="1" width="12" hidden="0" customWidth="1"/>
    <x:col min="2" max="2" width="24" hidden="0" customWidth="1"/>
    <x:col min="3" max="3" width="44" hidden="0" customWidth="1"/>
    <x:col min="4" max="4" width="16" hidden="0" customWidth="1"/>
    <x:col min="5" max="5" width="40" hidden="0" customWidth="1"/>
    <x:col min="6" max="6" width="28" hidden="0" customWidth="1"/>
    <x:col min="7" max="7" width="24" hidden="0" customWidth="1"/>
    <x:col min="8" max="8" width="10" hidden="0" customWidth="1"/>
    <x:col min="9" max="9" width="38" hidden="0" customWidth="1"/>
    <x:col min="10" max="10" width="38" hidden="0" customWidth="1"/>
    <x:col min="11" max="11" width="14" hidden="0" customWidth="1"/>
    <x:col min="12" max="12" width="17" hidden="0" customWidth="1"/>
    <x:col min="13" max="13" width="28" hidden="0" customWidth="1"/>
    <x:col min="14" max="14" width="34" hidden="0" customWidth="1"/>
    <x:col min="15" max="15" width="40" hidden="0" customWidth="1"/>
    <x:col min="16" max="16" width="15" hidden="0" customWidth="1"/>
    <x:col min="17" max="17" width="27" hidden="0" customWidth="1"/>
    <x:col min="18" max="18" width="27" hidden="0" customWidth="1"/>
    <x:col min="19" max="19" width="23" hidden="0" customWidth="1"/>
    <x:col min="20" max="20" width="32" hidden="0" customWidth="1"/>
    <x:col min="21" max="21" width="46" hidden="0" customWidth="1"/>
    <x:col min="22" max="22" width="44" hidden="0" customWidth="1"/>
    <x:col min="23" max="23" width="38" hidden="0" customWidth="1"/>
    <x:col min="24" max="24" width="22" hidden="0" customWidth="1"/>
    <x:col min="25" max="25" width="25" hidden="0" customWidth="1"/>
    <x:col min="26" max="26" width="44" hidden="0" customWidth="1"/>
    <x:col min="27" max="27" width="23" hidden="0" customWidth="1"/>
    <x:col min="28" max="28" width="22" hidden="0" customWidth="1"/>
    <x:col min="29" max="29" width="38" hidden="0" customWidth="1"/>
  </x:cols>
  <x:sheetData>
    <x:row r="1" ht="31" customHeight="1">
      <x:c r="A1" s="3" t="str">
        <x:v>IBD evidence sources — remediated</x:v>
      </x:c>
      <x:c r="B1" s="3"/>
      <x:c r="C1" s="3"/>
      <x:c r="D1" s="3"/>
      <x:c r="E1" s="3"/>
      <x:c r="F1" s="3"/>
      <x:c r="G1" s="3"/>
      <x:c r="H1" s="3"/>
      <x:c r="I1" s="3"/>
      <x:c r="J1" s="3"/>
      <x:c r="K1" s="3"/>
      <x:c r="L1" s="3"/>
      <x:c r="M1" s="3"/>
      <x:c r="N1" s="3"/>
      <x:c r="O1" s="3"/>
      <x:c r="P1" s="3"/>
      <x:c r="Q1" s="3"/>
      <x:c r="R1" s="3"/>
      <x:c r="S1" s="3"/>
      <x:c r="T1" s="3"/>
      <x:c r="U1" s="3"/>
      <x:c r="V1" s="3"/>
      <x:c r="W1" s="3"/>
      <x:c r="X1" s="3"/>
      <x:c r="Y1" s="3"/>
      <x:c r="Z1" s="3"/>
      <x:c r="AA1" s="3"/>
      <x:c r="AB1" s="3"/>
      <x:c r="AC1" s="3"/>
    </x:row>
    <x:row r="2" ht="44" customHeight="1">
      <x:c r="A2" s="7" t="str">
        <x:v>All records remain pending human review. Corrected identifiers and legal-access status are shown; the superseded 2017 source remains for audit history. Yellow fields are intentionally blank.</x:v>
      </x:c>
      <x:c r="B2" s="7"/>
      <x:c r="C2" s="7"/>
      <x:c r="D2" s="7"/>
      <x:c r="E2" s="7"/>
      <x:c r="F2" s="7"/>
      <x:c r="G2" s="7"/>
      <x:c r="H2" s="7"/>
      <x:c r="I2" s="7"/>
      <x:c r="J2" s="7"/>
      <x:c r="K2" s="7"/>
      <x:c r="L2" s="7"/>
      <x:c r="M2" s="7"/>
      <x:c r="N2" s="7"/>
      <x:c r="O2" s="7"/>
      <x:c r="P2" s="7"/>
      <x:c r="Q2" s="7"/>
      <x:c r="R2" s="7"/>
      <x:c r="S2" s="7"/>
      <x:c r="T2" s="7"/>
      <x:c r="U2" s="7"/>
      <x:c r="V2" s="7"/>
      <x:c r="W2" s="7"/>
      <x:c r="X2" s="7"/>
      <x:c r="Y2" s="7"/>
      <x:c r="Z2" s="7"/>
      <x:c r="AA2" s="7"/>
      <x:c r="AB2" s="7"/>
      <x:c r="AC2" s="7"/>
    </x:row>
    <x:row r="4" ht="40" customHeight="1">
      <x:c r="A4" s="16" t="str">
        <x:v>Source ID</x:v>
      </x:c>
      <x:c r="B4" s="17" t="str">
        <x:v>Source status</x:v>
      </x:c>
      <x:c r="C4" s="17" t="str">
        <x:v>Source title</x:v>
      </x:c>
      <x:c r="D4" s="17" t="str">
        <x:v>Source type</x:v>
      </x:c>
      <x:c r="E4" s="17" t="str">
        <x:v>Authors</x:v>
      </x:c>
      <x:c r="F4" s="17" t="str">
        <x:v>Issuing organisation</x:v>
      </x:c>
      <x:c r="G4" s="17" t="str">
        <x:v>Journal</x:v>
      </x:c>
      <x:c r="H4" s="17" t="str">
        <x:v>Year</x:v>
      </x:c>
      <x:c r="I4" s="17" t="str">
        <x:v>Source URL</x:v>
      </x:c>
      <x:c r="J4" s="17" t="str">
        <x:v>Canonical URL</x:v>
      </x:c>
      <x:c r="K4" s="17" t="str">
        <x:v>Corrected PMID</x:v>
      </x:c>
      <x:c r="L4" s="17" t="str">
        <x:v>Corrected PMCID</x:v>
      </x:c>
      <x:c r="M4" s="17" t="str">
        <x:v>Corrected DOI</x:v>
      </x:c>
      <x:c r="N4" s="17" t="str">
        <x:v>Full-text verification</x:v>
      </x:c>
      <x:c r="O4" s="17" t="str">
        <x:v>Authoritative access URL</x:v>
      </x:c>
      <x:c r="P4" s="17" t="str">
        <x:v>Superseded by</x:v>
      </x:c>
      <x:c r="Q4" s="17" t="str">
        <x:v>Condition applicability</x:v>
      </x:c>
      <x:c r="R4" s="17" t="str">
        <x:v>Disease context</x:v>
      </x:c>
      <x:c r="S4" s="17" t="str">
        <x:v>Study type</x:v>
      </x:c>
      <x:c r="T4" s="17" t="str">
        <x:v>Population</x:v>
      </x:c>
      <x:c r="U4" s="17" t="str">
        <x:v>Main relevant finding</x:v>
      </x:c>
      <x:c r="V4" s="17" t="str">
        <x:v>Evidence/reliability limitations</x:v>
      </x:c>
      <x:c r="W4" s="17" t="str">
        <x:v>Access/licensing note</x:v>
      </x:c>
      <x:c r="X4" s="17" t="str">
        <x:v>Region assessed</x:v>
      </x:c>
      <x:c r="Y4" s="17" t="str">
        <x:v>Canada/US applicability</x:v>
      </x:c>
      <x:c r="Z4" s="17" t="str">
        <x:v>Regional assessment</x:v>
      </x:c>
      <x:c r="AA4" s="17" t="str">
        <x:v>Review status</x:v>
      </x:c>
      <x:c r="AB4" s="17" t="str">
        <x:v>User decision</x:v>
      </x:c>
      <x:c r="AC4" s="18" t="str">
        <x:v>User notes</x:v>
      </x:c>
    </x:row>
    <x:row r="5" ht="82" customHeight="1">
      <x:c r="A5" s="26" t="str">
        <x:v>SRC-001</x:v>
      </x:c>
      <x:c r="B5" s="26" t="str">
        <x:v>verified_guideline</x:v>
      </x:c>
      <x:c r="C5" s="26" t="str">
        <x:v>British Society of Gastroenterology guidelines on inflammatory bowel disease in adults: 2025.</x:v>
      </x:c>
      <x:c r="D5" s="26" t="str">
        <x:v>guideline</x:v>
      </x:c>
      <x:c r="E5" s="26" t="str">
        <x:v>Gordon W Moran; Morris Gordon; Vassiliki Sinopolou; Shellie J Radford; Ana-Maria Darie; Sudheer Kumar Vuyyuru; Laith Alrubaiy; Naila Arebi; Jonathan Blackwell; Thomas D Butler; Thean Chew; Michael Colwill; Rachel Cooney; Gabriele De Marco; Said Din; Shahida Din; Roger Feakins; Marco Gasparetto; Hannah Gordon; Richard Hansen; Klaartje B Kok; Christopher Andrew Lamb; Jimmy Limdi; Eleanor Liu; Maurice B Loughrey; Dennis McGonagle; Kamal Patel; Polychronis Pavlidis; Christian Selinger; Matthew Shale; Philip J Smith; Sreedhar Subramanian; Stuart A Taylor; Gloria Shwe Zin Tun; Ajay Mark Verma; Newton A C S Wong; IBD guideline development group</x:v>
      </x:c>
      <x:c r="F5" s="26" t="str"/>
      <x:c r="G5" s="26" t="str">
        <x:v>Gut</x:v>
      </x:c>
      <x:c r="H5" s="26" t="n">
        <x:v>2025</x:v>
      </x:c>
      <x:c r="I5" s="26" t="str">
        <x:v>https://pubmed.ncbi.nlm.nih.gov/40550582/</x:v>
      </x:c>
      <x:c r="J5" s="26" t="str">
        <x:v>https://pubmed.ncbi.nlm.nih.gov/40550582/</x:v>
      </x:c>
      <x:c r="K5" s="26" t="str">
        <x:v>40550582</x:v>
      </x:c>
      <x:c r="L5" s="26" t="str"/>
      <x:c r="M5" s="26" t="str">
        <x:v>10.1136/gutjnl-2024-334395</x:v>
      </x:c>
      <x:c r="N5" s="26" t="str">
        <x:v>official public full text verified</x:v>
      </x:c>
      <x:c r="O5" s="26" t="str">
        <x:v>https://discovery.ucl.ac.uk/id/eprint/10210552/</x:v>
      </x:c>
      <x:c r="P5" s="26" t="str"/>
      <x:c r="Q5" s="26" t="str">
        <x:v>ibd_general</x:v>
      </x:c>
      <x:c r="R5" s="26" t="str">
        <x:v>remission</x:v>
      </x:c>
      <x:c r="S5" s="26" t="str">
        <x:v>clinical guideline</x:v>
      </x:c>
      <x:c r="T5" s="26" t="str">
        <x:v>People with IBD or source-defined population; details require full-text review</x:v>
      </x:c>
      <x:c r="U5" s="26" t="str">
        <x:v>Formulated through a systematic and transparent process, this document reflects a consensus of best practices based on current evidence.</x:v>
      </x:c>
      <x:c r="V5" s="26" t="str">
        <x:v>Automated metadata and passage extraction; full methods and tables require human review. Abstract-only record limits appraisal.</x:v>
      </x:c>
      <x:c r="W5" s="26" t="str">
        <x:v>Publicly accessible for verification; downstream reuse rights were not assessed.</x:v>
      </x:c>
      <x:c r="X5" s="26" t="str">
        <x:v>United Kingdom</x:v>
      </x:c>
      <x:c r="Y5" s="26" t="str">
        <x:v>portable_with_qualification</x:v>
      </x:c>
      <x:c r="Z5" s="26" t="str">
        <x:v>UK guideline; core evidence is relevant, but care pathways and product availability require Canada/US review.</x:v>
      </x:c>
      <x:c r="AA5" s="26" t="str">
        <x:v>pending_human_review</x:v>
      </x:c>
      <x:c r="AB5" s="29" t="str"/>
      <x:c r="AC5" s="29" t="str"/>
    </x:row>
    <x:row r="6" ht="82" customHeight="1">
      <x:c r="A6" s="27" t="str">
        <x:v>SRC-002</x:v>
      </x:c>
      <x:c r="B6" s="27" t="str">
        <x:v>verified_abstract_only</x:v>
      </x:c>
      <x:c r="C6" s="27" t="str">
        <x:v>AGA Clinical Practice Update on Diet and Nutritional Therapies in Patients With Inflammatory Bowel Disease: Expert Review.</x:v>
      </x:c>
      <x:c r="D6" s="27" t="str">
        <x:v>guideline</x:v>
      </x:c>
      <x:c r="E6" s="27" t="str">
        <x:v>Jana G Hashash; Jaclyn Elkins; James D Lewis; David G Binion</x:v>
      </x:c>
      <x:c r="F6" s="27" t="str"/>
      <x:c r="G6" s="27" t="str">
        <x:v>Gastroenterology</x:v>
      </x:c>
      <x:c r="H6" s="27" t="n">
        <x:v>2024</x:v>
      </x:c>
      <x:c r="I6" s="27" t="str">
        <x:v>https://pubmed.ncbi.nlm.nih.gov/38276922/</x:v>
      </x:c>
      <x:c r="J6" s="27" t="str">
        <x:v>https://pubmed.ncbi.nlm.nih.gov/38276922/</x:v>
      </x:c>
      <x:c r="K6" s="27" t="str">
        <x:v>38276922</x:v>
      </x:c>
      <x:c r="L6" s="27" t="str"/>
      <x:c r="M6" s="27" t="str">
        <x:v>10.1053/j.gastro.2023.11.303</x:v>
      </x:c>
      <x:c r="N6" s="27" t="str">
        <x:v>public abstract verified; full text not legally obtained</x:v>
      </x:c>
      <x:c r="O6" s="27" t="str">
        <x:v>https://pubmed.ncbi.nlm.nih.gov/38276922/</x:v>
      </x:c>
      <x:c r="P6" s="27" t="str"/>
      <x:c r="Q6" s="27" t="str">
        <x:v>ulcerative_colitis; crohns_disease; ibd_general</x:v>
      </x:c>
      <x:c r="R6" s="27" t="str">
        <x:v>active_disease; remission; post_surgery</x:v>
      </x:c>
      <x:c r="S6" s="27" t="str">
        <x:v>clinical guideline</x:v>
      </x:c>
      <x:c r="T6" s="27" t="str">
        <x:v>Children or adolescents with IBD, as specified</x:v>
      </x:c>
      <x:c r="U6" s="27" t="str">
        <x:v>Dietary restrictions, along with the clinical complications of IBD, can result in malnutrition, an underrecognized condition among this patient population.</x:v>
      </x:c>
      <x:c r="V6" s="27" t="str">
        <x:v>Automated metadata and passage extraction; full methods and tables require human review. Abstract-only record limits appraisal.</x:v>
      </x:c>
      <x:c r="W6" s="27" t="str">
        <x:v>Publicly accessible for verification; downstream reuse rights were not assessed.</x:v>
      </x:c>
      <x:c r="X6" s="27" t="str">
        <x:v>United States</x:v>
      </x:c>
      <x:c r="Y6" s="27" t="str">
        <x:v>portable_with_qualification</x:v>
      </x:c>
      <x:c r="Z6" s="27" t="str">
        <x:v>Scientific findings may be relevant in Canada/US; local food, cultural, and healthcare context requires review.</x:v>
      </x:c>
      <x:c r="AA6" s="27" t="str">
        <x:v>pending_human_review</x:v>
      </x:c>
      <x:c r="AB6" s="30" t="str"/>
      <x:c r="AC6" s="30" t="str"/>
    </x:row>
    <x:row r="7" ht="82" customHeight="1">
      <x:c r="A7" s="27" t="str">
        <x:v>SRC-003</x:v>
      </x:c>
      <x:c r="B7" s="27" t="str">
        <x:v>superseded_replaced</x:v>
      </x:c>
      <x:c r="C7" s="27" t="str">
        <x:v>ESPEN guideline: Clinical nutrition in inflammatory bowel disease.</x:v>
      </x:c>
      <x:c r="D7" s="27" t="str">
        <x:v>guideline</x:v>
      </x:c>
      <x:c r="E7" s="27" t="str">
        <x:v>Alastair Forbes; Johanna Escher; Xavier Hébuterne; Stanisław Kłęk; Zeljko Krznaric; Stéphane Schneider; Raanan Shamir; Kalina Stardelova; Nicolette Wierdsma; Anthony E Wiskin; Stephan C Bischoff</x:v>
      </x:c>
      <x:c r="F7" s="27" t="str"/>
      <x:c r="G7" s="27" t="str">
        <x:v>Clinical nutrition (Edinburgh, Scotland)</x:v>
      </x:c>
      <x:c r="H7" s="27" t="n">
        <x:v>2017</x:v>
      </x:c>
      <x:c r="I7" s="27" t="str">
        <x:v>https://pubmed.ncbi.nlm.nih.gov/28131521/</x:v>
      </x:c>
      <x:c r="J7" s="27" t="str">
        <x:v>https://pubmed.ncbi.nlm.nih.gov/28131521/</x:v>
      </x:c>
      <x:c r="K7" s="27" t="str">
        <x:v>28131521</x:v>
      </x:c>
      <x:c r="L7" s="27" t="str"/>
      <x:c r="M7" s="27" t="str">
        <x:v>10.1016/j.clnu.2016.12.027</x:v>
      </x:c>
      <x:c r="N7" s="27" t="str">
        <x:v>public abstract verified; full text not legally obtained</x:v>
      </x:c>
      <x:c r="O7" s="27" t="str">
        <x:v>https://www.espen.org/files/ESPEN-guideline_Clinical-nutrition-in-inflammatory-bowel-disease.pdf</x:v>
      </x:c>
      <x:c r="P7" s="27" t="str">
        <x:v>SRC-026</x:v>
      </x:c>
      <x:c r="Q7" s="27" t="str">
        <x:v>ulcerative_colitis; crohns_disease; ibd_general</x:v>
      </x:c>
      <x:c r="R7" s="27" t="str">
        <x:v>post_surgery</x:v>
      </x:c>
      <x:c r="S7" s="27" t="str">
        <x:v>clinical guideline</x:v>
      </x:c>
      <x:c r="T7" s="27" t="str">
        <x:v>Children or adolescents with IBD, as specified</x:v>
      </x:c>
      <x:c r="U7" s="27" t="str">
        <x:v>Treatment of iron deficiency (parenterally if necessary) is strongly recommended.</x:v>
      </x:c>
      <x:c r="V7" s="27" t="str">
        <x:v>Automated metadata and passage extraction; full methods and tables require human review. Abstract-only record limits appraisal.</x:v>
      </x:c>
      <x:c r="W7" s="27" t="str">
        <x:v>Publicly accessible for verification; downstream reuse rights were not assessed.</x:v>
      </x:c>
      <x:c r="X7" s="27" t="str">
        <x:v>Not reported in abstract</x:v>
      </x:c>
      <x:c r="Y7" s="27" t="str">
        <x:v>portable_with_qualification</x:v>
      </x:c>
      <x:c r="Z7" s="27" t="str">
        <x:v>Scientific findings may be relevant in Canada/US; local food, cultural, and healthcare context requires review.</x:v>
      </x:c>
      <x:c r="AA7" s="27" t="str">
        <x:v>pending_human_review</x:v>
      </x:c>
      <x:c r="AB7" s="30" t="str"/>
      <x:c r="AC7" s="30" t="str"/>
    </x:row>
    <x:row r="8" ht="82" customHeight="1">
      <x:c r="A8" s="27" t="str">
        <x:v>SRC-004</x:v>
      </x:c>
      <x:c r="B8" s="27" t="str">
        <x:v>verified_full_text</x:v>
      </x:c>
      <x:c r="C8" s="27" t="str">
        <x:v>Diet, Food, and Nutritional Exposures and Inflammatory Bowel Disease or Progression of Disease: an Umbrella Review.</x:v>
      </x:c>
      <x:c r="D8" s="27" t="str">
        <x:v>review</x:v>
      </x:c>
      <x:c r="E8" s="27" t="str">
        <x:v>Camilla Christensen; Andrea Knudsen; Erik K Arnesen; Jan Gunnar Hatlebakk; Ida Sofie Sletten; Lars T Fadnes</x:v>
      </x:c>
      <x:c r="F8" s="27" t="str"/>
      <x:c r="G8" s="27" t="str">
        <x:v>Advances in nutrition (Bethesda, Md.)</x:v>
      </x:c>
      <x:c r="H8" s="27" t="n">
        <x:v>2024</x:v>
      </x:c>
      <x:c r="I8" s="27" t="str">
        <x:v>https://pubmed.ncbi.nlm.nih.gov/38599319/</x:v>
      </x:c>
      <x:c r="J8" s="27" t="str">
        <x:v>https://pubmed.ncbi.nlm.nih.gov/38599319/</x:v>
      </x:c>
      <x:c r="K8" s="27" t="str">
        <x:v>38599319</x:v>
      </x:c>
      <x:c r="L8" s="27" t="str">
        <x:v>PMC11063602</x:v>
      </x:c>
      <x:c r="M8" s="27" t="str">
        <x:v>10.1016/j.advnut.2024.100219</x:v>
      </x:c>
      <x:c r="N8" s="27" t="str">
        <x:v>official public full text verified</x:v>
      </x:c>
      <x:c r="O8" s="27" t="str">
        <x:v>https://pmc.ncbi.nlm.nih.gov/articles/PMC11063602/</x:v>
      </x:c>
      <x:c r="P8" s="27" t="str"/>
      <x:c r="Q8" s="27" t="str">
        <x:v>ulcerative_colitis; crohns_disease; ibd_general</x:v>
      </x:c>
      <x:c r="R8" s="27" t="str">
        <x:v>general_or_unspecified</x:v>
      </x:c>
      <x:c r="S8" s="27" t="str">
        <x:v>systematic review</x:v>
      </x:c>
      <x:c r="T8" s="27" t="str">
        <x:v>People with IBD or source-defined population; details require full-text review</x:v>
      </x:c>
      <x:c r="U8" s="27" t="str">
        <x:v>Dietary factors associated with an increased incidence and/or progression of IBD include a high intake of red and processed meat, other processed foods, and refined sugars, together with a low intake of vegetables, fruits, and fiber.</x:v>
      </x:c>
      <x:c r="V8" s="27" t="str">
        <x:v>Automated metadata and passage extraction; full methods and tables require human review. Public full text available for deeper review.</x:v>
      </x:c>
      <x:c r="W8" s="27" t="str">
        <x:v>Publicly accessible for verification; downstream reuse rights were not assessed.</x:v>
      </x:c>
      <x:c r="X8" s="27" t="str">
        <x:v>Not reported in abstract</x:v>
      </x:c>
      <x:c r="Y8" s="27" t="str">
        <x:v>portable_with_qualification</x:v>
      </x:c>
      <x:c r="Z8" s="27" t="str">
        <x:v>Scientific findings may be relevant in Canada/US; local food, cultural, and healthcare context requires review.</x:v>
      </x:c>
      <x:c r="AA8" s="27" t="str">
        <x:v>pending_human_review</x:v>
      </x:c>
      <x:c r="AB8" s="30" t="str"/>
      <x:c r="AC8" s="30" t="str"/>
    </x:row>
    <x:row r="9" ht="82" customHeight="1">
      <x:c r="A9" s="27" t="str">
        <x:v>SRC-005</x:v>
      </x:c>
      <x:c r="B9" s="27" t="str">
        <x:v>verified_full_text</x:v>
      </x:c>
      <x:c r="C9" s="27" t="str">
        <x:v>Dietary Interventions for the Treatment of Inflammatory Bowel Diseases: An Updated Systematic Review and Meta-analysis.</x:v>
      </x:c>
      <x:c r="D9" s="27" t="str">
        <x:v>review</x:v>
      </x:c>
      <x:c r="E9" s="27" t="str">
        <x:v>Berkeley N Limketkai; Gala Godoy-Brewer; Alyssa M Parian; Shaya Noorian; Mahesh Krishna; Neha D Shah; Jacob White; Gerard E Mullin</x:v>
      </x:c>
      <x:c r="F9" s="27" t="str"/>
      <x:c r="G9" s="27" t="str">
        <x:v>Clinical gastroenterology and hepatology : the official clinical practice journal of the American Gastroenterological Association</x:v>
      </x:c>
      <x:c r="H9" s="27" t="n">
        <x:v>2023</x:v>
      </x:c>
      <x:c r="I9" s="27" t="str">
        <x:v>https://pubmed.ncbi.nlm.nih.gov/36470529/</x:v>
      </x:c>
      <x:c r="J9" s="27" t="str">
        <x:v>https://pubmed.ncbi.nlm.nih.gov/36470529/</x:v>
      </x:c>
      <x:c r="K9" s="27" t="str">
        <x:v>36470529</x:v>
      </x:c>
      <x:c r="L9" s="27" t="str"/>
      <x:c r="M9" s="27" t="str">
        <x:v>10.1016/j.cgh.2022.11.026</x:v>
      </x:c>
      <x:c r="N9" s="27" t="str">
        <x:v>official public full text verified</x:v>
      </x:c>
      <x:c r="O9" s="27" t="str">
        <x:v>https://bspghan.org.uk/wp-content/uploads/2023/09/systemic-review-dietwry-treatment-of-ibd.pdf</x:v>
      </x:c>
      <x:c r="P9" s="27" t="str"/>
      <x:c r="Q9" s="27" t="str">
        <x:v>ulcerative_colitis; crohns_disease; ibd_general</x:v>
      </x:c>
      <x:c r="R9" s="27" t="str">
        <x:v>active_disease; remission</x:v>
      </x:c>
      <x:c r="S9" s="27" t="str">
        <x:v>meta-analysis</x:v>
      </x:c>
      <x:c r="T9" s="27" t="str">
        <x:v>People with IBD or source-defined population; details require full-text review</x:v>
      </x:c>
      <x:c r="U9" s="27" t="str">
        <x:v>For induction of remission in Crohn's disease (CD), low refined carbohydrate diet and symptoms-guided diet outperformed controls, but studies had serious imprecision and very low certainty of evidence.</x:v>
      </x:c>
      <x:c r="V9" s="27" t="str">
        <x:v>Automated metadata and passage extraction; full methods and tables require human review. Abstract-only record limits appraisal.</x:v>
      </x:c>
      <x:c r="W9" s="27" t="str">
        <x:v>Publicly accessible for verification; downstream reuse rights were not assessed.</x:v>
      </x:c>
      <x:c r="X9" s="27" t="str">
        <x:v>Not reported in abstract</x:v>
      </x:c>
      <x:c r="Y9" s="27" t="str">
        <x:v>portable_with_qualification</x:v>
      </x:c>
      <x:c r="Z9" s="27" t="str">
        <x:v>Scientific findings may be relevant in Canada/US; local food, cultural, and healthcare context requires review.</x:v>
      </x:c>
      <x:c r="AA9" s="27" t="str">
        <x:v>pending_human_review</x:v>
      </x:c>
      <x:c r="AB9" s="30" t="str"/>
      <x:c r="AC9" s="30" t="str"/>
    </x:row>
    <x:row r="10" ht="82" customHeight="1">
      <x:c r="A10" s="27" t="str">
        <x:v>SRC-006</x:v>
      </x:c>
      <x:c r="B10" s="27" t="str">
        <x:v>verified_full_text</x:v>
      </x:c>
      <x:c r="C10" s="27" t="str">
        <x:v>Dietary fat is associated with increased inflammatory bowel disease onset risk: a systematic review and dose-response meta-analysis.</x:v>
      </x:c>
      <x:c r="D10" s="27" t="str">
        <x:v>review</x:v>
      </x:c>
      <x:c r="E10" s="27" t="str">
        <x:v>Song Zhang; Xiangyu Sui; Jiahui Wei; Miao Liu; Huanwei Zhang; Youdong Zhao; Shihang Wang; Xinxin Huang; Qiwen Fang; Shuhuai Xu; Yuyang Zheng; Chenglong Wang; Zhaoshen Li; Shengbing Zhao; Yu Bai</x:v>
      </x:c>
      <x:c r="F10" s="27" t="str"/>
      <x:c r="G10" s="27" t="str">
        <x:v>International journal of surgery (London, England)</x:v>
      </x:c>
      <x:c r="H10" s="27" t="n">
        <x:v>2025</x:v>
      </x:c>
      <x:c r="I10" s="27" t="str">
        <x:v>https://pubmed.ncbi.nlm.nih.gov/40844310/</x:v>
      </x:c>
      <x:c r="J10" s="27" t="str">
        <x:v>https://pubmed.ncbi.nlm.nih.gov/40844310/</x:v>
      </x:c>
      <x:c r="K10" s="27" t="str">
        <x:v>40844310</x:v>
      </x:c>
      <x:c r="L10" s="27" t="str">
        <x:v>PMC12626460</x:v>
      </x:c>
      <x:c r="M10" s="27" t="str">
        <x:v>10.1097/JS9.0000000000003019</x:v>
      </x:c>
      <x:c r="N10" s="27" t="str">
        <x:v>official public full text verified</x:v>
      </x:c>
      <x:c r="O10" s="27" t="str">
        <x:v>https://pmc.ncbi.nlm.nih.gov/articles/PMC12626460/</x:v>
      </x:c>
      <x:c r="P10" s="27" t="str"/>
      <x:c r="Q10" s="27" t="str">
        <x:v>ibd_general</x:v>
      </x:c>
      <x:c r="R10" s="27" t="str">
        <x:v>general_or_unspecified</x:v>
      </x:c>
      <x:c r="S10" s="27" t="str">
        <x:v>meta-analysis</x:v>
      </x:c>
      <x:c r="T10" s="27" t="str">
        <x:v>People with IBD or source-defined population; details require full-text review</x:v>
      </x:c>
      <x:c r="U10" s="27" t="str">
        <x:v>RESULTS: High fat intake (RR = 1.24, 95% CI = 1.03-1.49) was modestly associated with increased IBD onset risk.</x:v>
      </x:c>
      <x:c r="V10" s="27" t="str">
        <x:v>Automated metadata and passage extraction; full methods and tables require human review. Public full text available for deeper review.</x:v>
      </x:c>
      <x:c r="W10" s="27" t="str">
        <x:v>Publicly accessible for verification; downstream reuse rights were not assessed.</x:v>
      </x:c>
      <x:c r="X10" s="27" t="str">
        <x:v>Not reported in abstract</x:v>
      </x:c>
      <x:c r="Y10" s="27" t="str">
        <x:v>portable_with_qualification</x:v>
      </x:c>
      <x:c r="Z10" s="27" t="str">
        <x:v>Scientific findings may be relevant in Canada/US; local food, cultural, and healthcare context requires review.</x:v>
      </x:c>
      <x:c r="AA10" s="27" t="str">
        <x:v>pending_human_review</x:v>
      </x:c>
      <x:c r="AB10" s="30" t="str"/>
      <x:c r="AC10" s="30" t="str"/>
    </x:row>
    <x:row r="11" ht="82" customHeight="1">
      <x:c r="A11" s="27" t="str">
        <x:v>SRC-007</x:v>
      </x:c>
      <x:c r="B11" s="27" t="str">
        <x:v>verified_full_text</x:v>
      </x:c>
      <x:c r="C11" s="27" t="str">
        <x:v>Systematic review and meta-analysis of lactose digestion, its impact on intolerance and nutritional effects of dairy food restriction in inflammatory bowel diseases.</x:v>
      </x:c>
      <x:c r="D11" s="27" t="str">
        <x:v>review</x:v>
      </x:c>
      <x:c r="E11" s="27" t="str">
        <x:v>Andrew Szilagyi; Polymnia Galiatsatos; Xiaoqing Xue</x:v>
      </x:c>
      <x:c r="F11" s="27" t="str"/>
      <x:c r="G11" s="27" t="str">
        <x:v>Nutrition journal</x:v>
      </x:c>
      <x:c r="H11" s="27" t="n">
        <x:v>2016</x:v>
      </x:c>
      <x:c r="I11" s="27" t="str">
        <x:v>https://pubmed.ncbi.nlm.nih.gov/27411934/</x:v>
      </x:c>
      <x:c r="J11" s="27" t="str">
        <x:v>https://pubmed.ncbi.nlm.nih.gov/27411934/</x:v>
      </x:c>
      <x:c r="K11" s="27" t="str">
        <x:v>27411934</x:v>
      </x:c>
      <x:c r="L11" s="27" t="str">
        <x:v>PMC4942986</x:v>
      </x:c>
      <x:c r="M11" s="27" t="str">
        <x:v>10.1186/s12937-016-0183-8</x:v>
      </x:c>
      <x:c r="N11" s="27" t="str">
        <x:v>official public full text verified</x:v>
      </x:c>
      <x:c r="O11" s="27" t="str">
        <x:v>https://pmc.ncbi.nlm.nih.gov/articles/PMC4942986/</x:v>
      </x:c>
      <x:c r="P11" s="27" t="str"/>
      <x:c r="Q11" s="27" t="str">
        <x:v>crohns_disease; ibd_general</x:v>
      </x:c>
      <x:c r="R11" s="27" t="str">
        <x:v>general_or_unspecified</x:v>
      </x:c>
      <x:c r="S11" s="27" t="str">
        <x:v>meta-analysis</x:v>
      </x:c>
      <x:c r="T11" s="27" t="str">
        <x:v>People with IBD or source-defined population; details require full-text review</x:v>
      </x:c>
      <x:c r="U11" s="27" t="str">
        <x:v>Of these 17 were included in meta-analysis which showed overall increased lactose maldigestion in both diseases.</x:v>
      </x:c>
      <x:c r="V11" s="27" t="str">
        <x:v>Automated metadata and passage extraction; full methods and tables require human review. Public full text available for deeper review.</x:v>
      </x:c>
      <x:c r="W11" s="27" t="str">
        <x:v>Publicly accessible for verification; downstream reuse rights were not assessed.</x:v>
      </x:c>
      <x:c r="X11" s="27" t="str">
        <x:v>Not reported in abstract</x:v>
      </x:c>
      <x:c r="Y11" s="27" t="str">
        <x:v>portable_with_qualification</x:v>
      </x:c>
      <x:c r="Z11" s="27" t="str">
        <x:v>Scientific findings may be relevant in Canada/US; local food, cultural, and healthcare context requires review.</x:v>
      </x:c>
      <x:c r="AA11" s="27" t="str">
        <x:v>pending_human_review</x:v>
      </x:c>
      <x:c r="AB11" s="30" t="str"/>
      <x:c r="AC11" s="30" t="str"/>
    </x:row>
    <x:row r="12" ht="82" customHeight="1">
      <x:c r="A12" s="27" t="str">
        <x:v>SRC-008</x:v>
      </x:c>
      <x:c r="B12" s="27" t="str">
        <x:v>verified_full_text</x:v>
      </x:c>
      <x:c r="C12" s="27" t="str">
        <x:v>Nutrition, Nutritional Status, Micronutrients Deficiency, and Disease Course of Inflammatory Bowel Disease.</x:v>
      </x:c>
      <x:c r="D12" s="27" t="str">
        <x:v>review</x:v>
      </x:c>
      <x:c r="E12" s="27" t="str">
        <x:v>Marco Valvano; Annalisa Capannolo; Nicola Cesaro; Gianpiero Stefanelli; Stefano Fabiani; Sara Frassino; Sabrina Monaco; Marco Magistroni; Angelo Viscido; Giovanni Latella</x:v>
      </x:c>
      <x:c r="F12" s="27" t="str"/>
      <x:c r="G12" s="27" t="str">
        <x:v>Nutrients</x:v>
      </x:c>
      <x:c r="H12" s="27" t="n">
        <x:v>2023</x:v>
      </x:c>
      <x:c r="I12" s="27" t="str">
        <x:v>https://pubmed.ncbi.nlm.nih.gov/37686856/</x:v>
      </x:c>
      <x:c r="J12" s="27" t="str">
        <x:v>https://pubmed.ncbi.nlm.nih.gov/37686856/</x:v>
      </x:c>
      <x:c r="K12" s="27" t="str">
        <x:v>37686856</x:v>
      </x:c>
      <x:c r="L12" s="27" t="str">
        <x:v>PMC10489664</x:v>
      </x:c>
      <x:c r="M12" s="27" t="str">
        <x:v>10.3390/nu15173824</x:v>
      </x:c>
      <x:c r="N12" s="27" t="str">
        <x:v>official public full text verified</x:v>
      </x:c>
      <x:c r="O12" s="27" t="str">
        <x:v>https://pmc.ncbi.nlm.nih.gov/articles/PMC10489664/</x:v>
      </x:c>
      <x:c r="P12" s="27" t="str"/>
      <x:c r="Q12" s="27" t="str">
        <x:v>ibd_general</x:v>
      </x:c>
      <x:c r="R12" s="27" t="str">
        <x:v>active_disease; remission; post_surgery</x:v>
      </x:c>
      <x:c r="S12" s="27" t="str">
        <x:v>systematic review</x:v>
      </x:c>
      <x:c r="T12" s="27" t="str">
        <x:v>Adults with IBD, as specified</x:v>
      </x:c>
      <x:c r="U12" s="27" t="str">
        <x:v>The evidence summarized in this review showed that many nutritional aspects could be potential targets to induce a better control of symptoms, a deeper remission, and overall improve the quality of life of Inflammatory Bowel Disease patients.</x:v>
      </x:c>
      <x:c r="V12" s="27" t="str">
        <x:v>Automated metadata and passage extraction; full methods and tables require human review. Public full text available for deeper review.</x:v>
      </x:c>
      <x:c r="W12" s="27" t="str">
        <x:v>Publicly accessible for verification; downstream reuse rights were not assessed.</x:v>
      </x:c>
      <x:c r="X12" s="27" t="str">
        <x:v>Not reported in abstract</x:v>
      </x:c>
      <x:c r="Y12" s="27" t="str">
        <x:v>portable_with_qualification</x:v>
      </x:c>
      <x:c r="Z12" s="27" t="str">
        <x:v>Scientific findings may be relevant in Canada/US; local food, cultural, and healthcare context requires review.</x:v>
      </x:c>
      <x:c r="AA12" s="27" t="str">
        <x:v>pending_human_review</x:v>
      </x:c>
      <x:c r="AB12" s="30" t="str"/>
      <x:c r="AC12" s="30" t="str"/>
    </x:row>
    <x:row r="13" ht="82" customHeight="1">
      <x:c r="A13" s="27" t="str">
        <x:v>SRC-009</x:v>
      </x:c>
      <x:c r="B13" s="27" t="str">
        <x:v>verified_full_text</x:v>
      </x:c>
      <x:c r="C13" s="27" t="str">
        <x:v>Systematic review and meta-analysis of sleep quality in inactive inflammatory bowel disease.</x:v>
      </x:c>
      <x:c r="D13" s="27" t="str">
        <x:v>review</x:v>
      </x:c>
      <x:c r="E13" s="27" t="str">
        <x:v>Alex Barnes; Réme Mountifield; Justin Baker; Paul Spizzo; Peter Bampton; Sutapa Mukherjee</x:v>
      </x:c>
      <x:c r="F13" s="27" t="str"/>
      <x:c r="G13" s="27" t="str">
        <x:v>JGH open : an open access journal of gastroenterology and hepatology</x:v>
      </x:c>
      <x:c r="H13" s="27" t="n">
        <x:v>2022</x:v>
      </x:c>
      <x:c r="I13" s="27" t="str">
        <x:v>https://pubmed.ncbi.nlm.nih.gov/36406652/</x:v>
      </x:c>
      <x:c r="J13" s="27" t="str">
        <x:v>https://pubmed.ncbi.nlm.nih.gov/36406652/</x:v>
      </x:c>
      <x:c r="K13" s="27" t="str">
        <x:v>36406652</x:v>
      </x:c>
      <x:c r="L13" s="27" t="str">
        <x:v>PMC9667405</x:v>
      </x:c>
      <x:c r="M13" s="27" t="str">
        <x:v>10.1002/jgh3.12817</x:v>
      </x:c>
      <x:c r="N13" s="27" t="str">
        <x:v>official public full text verified</x:v>
      </x:c>
      <x:c r="O13" s="27" t="str">
        <x:v>https://pmc.ncbi.nlm.nih.gov/articles/PMC9667405/</x:v>
      </x:c>
      <x:c r="P13" s="27" t="str"/>
      <x:c r="Q13" s="27" t="str">
        <x:v>ibd_general</x:v>
      </x:c>
      <x:c r="R13" s="27" t="str">
        <x:v>general_or_unspecified</x:v>
      </x:c>
      <x:c r="S13" s="27" t="str">
        <x:v>meta-analysis</x:v>
      </x:c>
      <x:c r="T13" s="27" t="str">
        <x:v>General population cohort; indirect evidence for IBD users</x:v>
      </x:c>
      <x:c r="U13" s="27" t="str">
        <x:v>Poor sleep in people with inflammatory bowel disease (IBD) has been demonstrated to be prevalent and has been associated with disease activity.</x:v>
      </x:c>
      <x:c r="V13" s="27" t="str">
        <x:v>Automated metadata and passage extraction; full methods and tables require human review. Public full text available for deeper review.</x:v>
      </x:c>
      <x:c r="W13" s="27" t="str">
        <x:v>Publicly accessible for verification; downstream reuse rights were not assessed.</x:v>
      </x:c>
      <x:c r="X13" s="27" t="str">
        <x:v>Not reported in abstract</x:v>
      </x:c>
      <x:c r="Y13" s="27" t="str">
        <x:v>portable_with_qualification</x:v>
      </x:c>
      <x:c r="Z13" s="27" t="str">
        <x:v>Scientific findings may be relevant in Canada/US; local food, cultural, and healthcare context requires review.</x:v>
      </x:c>
      <x:c r="AA13" s="27" t="str">
        <x:v>pending_human_review</x:v>
      </x:c>
      <x:c r="AB13" s="30" t="str"/>
      <x:c r="AC13" s="30" t="str"/>
    </x:row>
    <x:row r="14" ht="82" customHeight="1">
      <x:c r="A14" s="27" t="str">
        <x:v>SRC-010</x:v>
      </x:c>
      <x:c r="B14" s="27" t="str">
        <x:v>verified_full_text</x:v>
      </x:c>
      <x:c r="C14" s="27" t="str">
        <x:v>Assessment of causal link between psychological factors and symptom exacerbation in inflammatory bowel disease: a systematic review utilising Bradford Hill criteria and meta-analysis of prospective cohort studies.</x:v>
      </x:c>
      <x:c r="D14" s="27" t="str">
        <x:v>review</x:v>
      </x:c>
      <x:c r="E14" s="27" t="str">
        <x:v>Mariyana Schoultz; Michelle Beattie; Trish Gorely; Janni Leung</x:v>
      </x:c>
      <x:c r="F14" s="27" t="str"/>
      <x:c r="G14" s="27" t="str">
        <x:v>Systematic reviews</x:v>
      </x:c>
      <x:c r="H14" s="27" t="n">
        <x:v>2020</x:v>
      </x:c>
      <x:c r="I14" s="27" t="str">
        <x:v>https://pubmed.ncbi.nlm.nih.gov/32738908/</x:v>
      </x:c>
      <x:c r="J14" s="27" t="str">
        <x:v>https://pubmed.ncbi.nlm.nih.gov/32738908/</x:v>
      </x:c>
      <x:c r="K14" s="27" t="str">
        <x:v>32738908</x:v>
      </x:c>
      <x:c r="L14" s="27" t="str">
        <x:v>PMC7395978</x:v>
      </x:c>
      <x:c r="M14" s="27" t="str">
        <x:v>10.1186/s13643-020-01426-2</x:v>
      </x:c>
      <x:c r="N14" s="27" t="str">
        <x:v>official public full text verified</x:v>
      </x:c>
      <x:c r="O14" s="27" t="str">
        <x:v>https://pmc.ncbi.nlm.nih.gov/articles/PMC7395978/</x:v>
      </x:c>
      <x:c r="P14" s="27" t="str"/>
      <x:c r="Q14" s="27" t="str">
        <x:v>ibd_general</x:v>
      </x:c>
      <x:c r="R14" s="27" t="str">
        <x:v>general_or_unspecified</x:v>
      </x:c>
      <x:c r="S14" s="27" t="str">
        <x:v>meta-analysis</x:v>
      </x:c>
      <x:c r="T14" s="27" t="str">
        <x:v>People with IBD or source-defined population; details require full-text review</x:v>
      </x:c>
      <x:c r="U14" s="27" t="str">
        <x:v>Meta-analysis showed depression, anxiety and perceived stress did not have a statistically significant association with an increased risk of symptom exacerbation.</x:v>
      </x:c>
      <x:c r="V14" s="27" t="str">
        <x:v>Automated metadata and passage extraction; full methods and tables require human review. Public full text available for deeper review.</x:v>
      </x:c>
      <x:c r="W14" s="27" t="str">
        <x:v>Publicly accessible for verification; downstream reuse rights were not assessed.</x:v>
      </x:c>
      <x:c r="X14" s="27" t="str">
        <x:v>Not reported in abstract</x:v>
      </x:c>
      <x:c r="Y14" s="27" t="str">
        <x:v>portable_with_qualification</x:v>
      </x:c>
      <x:c r="Z14" s="27" t="str">
        <x:v>Scientific findings may be relevant in Canada/US; local food, cultural, and healthcare context requires review.</x:v>
      </x:c>
      <x:c r="AA14" s="27" t="str">
        <x:v>pending_human_review</x:v>
      </x:c>
      <x:c r="AB14" s="30" t="str"/>
      <x:c r="AC14" s="30" t="str"/>
    </x:row>
    <x:row r="15" ht="82" customHeight="1">
      <x:c r="A15" s="27" t="str">
        <x:v>SRC-011</x:v>
      </x:c>
      <x:c r="B15" s="27" t="str">
        <x:v>verified_full_text</x:v>
      </x:c>
      <x:c r="C15" s="27" t="str">
        <x:v>Association of Dietary Fiber, Fruit, and Vegetable Consumption with Risk of Inflammatory Bowel Disease: A Systematic Review and Meta-Analysis.</x:v>
      </x:c>
      <x:c r="D15" s="27" t="str">
        <x:v>review</x:v>
      </x:c>
      <x:c r="E15" s="27" t="str">
        <x:v>Alireza Milajerdi; Nasser Ebrahimi-Daryani; Levinus A Dieleman; Bagher Larijani; Ahmad Esmaillzadeh</x:v>
      </x:c>
      <x:c r="F15" s="27" t="str"/>
      <x:c r="G15" s="27" t="str">
        <x:v>Advances in nutrition (Bethesda, Md.)</x:v>
      </x:c>
      <x:c r="H15" s="27" t="n">
        <x:v>2021</x:v>
      </x:c>
      <x:c r="I15" s="27" t="str">
        <x:v>https://pubmed.ncbi.nlm.nih.gov/33186988/</x:v>
      </x:c>
      <x:c r="J15" s="27" t="str">
        <x:v>https://pubmed.ncbi.nlm.nih.gov/33186988/</x:v>
      </x:c>
      <x:c r="K15" s="27" t="str">
        <x:v>33186988</x:v>
      </x:c>
      <x:c r="L15" s="27" t="str">
        <x:v>PMC8166559</x:v>
      </x:c>
      <x:c r="M15" s="27" t="str">
        <x:v>10.1093/advances/nmaa145</x:v>
      </x:c>
      <x:c r="N15" s="27" t="str">
        <x:v>official public full text verified</x:v>
      </x:c>
      <x:c r="O15" s="27" t="str">
        <x:v>https://pmc.ncbi.nlm.nih.gov/articles/PMC8166559/</x:v>
      </x:c>
      <x:c r="P15" s="27" t="str"/>
      <x:c r="Q15" s="27" t="str">
        <x:v>ulcerative_colitis; crohns_disease; ibd_general</x:v>
      </x:c>
      <x:c r="R15" s="27" t="str">
        <x:v>general_or_unspecified</x:v>
      </x:c>
      <x:c r="S15" s="27" t="str">
        <x:v>meta-analysis</x:v>
      </x:c>
      <x:c r="T15" s="27" t="str">
        <x:v>People with IBD or source-defined population; details require full-text review</x:v>
      </x:c>
      <x:c r="U15" s="27" t="str">
        <x:v>In conclusion, dietary intake of fruit and vegetables was inversely associated with risk of IBD and its subtypes.</x:v>
      </x:c>
      <x:c r="V15" s="27" t="str">
        <x:v>Automated metadata and passage extraction; full methods and tables require human review. Public full text available for deeper review.</x:v>
      </x:c>
      <x:c r="W15" s="27" t="str">
        <x:v>Publicly accessible for verification; downstream reuse rights were not assessed.</x:v>
      </x:c>
      <x:c r="X15" s="27" t="str">
        <x:v>Not reported in abstract</x:v>
      </x:c>
      <x:c r="Y15" s="27" t="str">
        <x:v>portable_with_qualification</x:v>
      </x:c>
      <x:c r="Z15" s="27" t="str">
        <x:v>Scientific findings may be relevant in Canada/US; local food, cultural, and healthcare context requires review.</x:v>
      </x:c>
      <x:c r="AA15" s="27" t="str">
        <x:v>pending_human_review</x:v>
      </x:c>
      <x:c r="AB15" s="30" t="str"/>
      <x:c r="AC15" s="30" t="str"/>
    </x:row>
    <x:row r="16" ht="82" customHeight="1">
      <x:c r="A16" s="27" t="str">
        <x:v>SRC-012</x:v>
      </x:c>
      <x:c r="B16" s="27" t="str">
        <x:v>verified_full_text</x:v>
      </x:c>
      <x:c r="C16" s="27" t="str">
        <x:v>Efficacy and safety of probiotics in the induction and maintenance of inflammatory bowel disease remission: a systematic review and meta-analysis.</x:v>
      </x:c>
      <x:c r="D16" s="27" t="str">
        <x:v>review</x:v>
      </x:c>
      <x:c r="E16" s="27" t="str">
        <x:v>Mingshi Chen; Yan Feng; Wanli Liu</x:v>
      </x:c>
      <x:c r="F16" s="27" t="str"/>
      <x:c r="G16" s="27" t="str">
        <x:v>Annals of palliative medicine</x:v>
      </x:c>
      <x:c r="H16" s="27" t="n">
        <x:v>2021</x:v>
      </x:c>
      <x:c r="I16" s="27" t="str">
        <x:v>https://pubmed.ncbi.nlm.nih.gov/34872306/</x:v>
      </x:c>
      <x:c r="J16" s="27" t="str">
        <x:v>https://pubmed.ncbi.nlm.nih.gov/34872306/</x:v>
      </x:c>
      <x:c r="K16" s="27" t="str">
        <x:v>34872306</x:v>
      </x:c>
      <x:c r="L16" s="27" t="str"/>
      <x:c r="M16" s="27" t="str">
        <x:v>10.21037/apm-21-2996</x:v>
      </x:c>
      <x:c r="N16" s="27" t="str">
        <x:v>official public full text verified</x:v>
      </x:c>
      <x:c r="O16" s="27" t="str">
        <x:v>https://cdn.amegroups.cn/journals/amepc/files/journals/8/articles/83657/public/83657-PB3-2220-R2.pdf</x:v>
      </x:c>
      <x:c r="P16" s="27" t="str"/>
      <x:c r="Q16" s="27" t="str">
        <x:v>ulcerative_colitis; crohns_disease; ibd_general</x:v>
      </x:c>
      <x:c r="R16" s="27" t="str">
        <x:v>active_disease; remission</x:v>
      </x:c>
      <x:c r="S16" s="27" t="str">
        <x:v>meta-analysis</x:v>
      </x:c>
      <x:c r="T16" s="27" t="str">
        <x:v>People with IBD or source-defined population; details require full-text review</x:v>
      </x:c>
      <x:c r="U16" s="27" t="str">
        <x:v>RESULTS: A total of ten RCTs were included, which included 777 patients with ulcerative colitis (UC) and Crohn's disease (CD).</x:v>
      </x:c>
      <x:c r="V16" s="27" t="str">
        <x:v>Automated metadata and passage extraction; full methods and tables require human review. Abstract-only record limits appraisal.</x:v>
      </x:c>
      <x:c r="W16" s="27" t="str">
        <x:v>Publicly accessible for verification; downstream reuse rights were not assessed.</x:v>
      </x:c>
      <x:c r="X16" s="27" t="str">
        <x:v>Not reported in abstract</x:v>
      </x:c>
      <x:c r="Y16" s="27" t="str">
        <x:v>portable_with_qualification</x:v>
      </x:c>
      <x:c r="Z16" s="27" t="str">
        <x:v>Scientific findings may be relevant in Canada/US; local food, cultural, and healthcare context requires review.</x:v>
      </x:c>
      <x:c r="AA16" s="27" t="str">
        <x:v>pending_human_review</x:v>
      </x:c>
      <x:c r="AB16" s="30" t="str"/>
      <x:c r="AC16" s="30" t="str"/>
    </x:row>
    <x:row r="17" ht="82" customHeight="1">
      <x:c r="A17" s="27" t="str">
        <x:v>SRC-013</x:v>
      </x:c>
      <x:c r="B17" s="27" t="str">
        <x:v>verified_abstract_only</x:v>
      </x:c>
      <x:c r="C17" s="27" t="str">
        <x:v>Ultra-processed foods and food additives in gut health and disease.</x:v>
      </x:c>
      <x:c r="D17" s="27" t="str">
        <x:v>review</x:v>
      </x:c>
      <x:c r="E17" s="27" t="str">
        <x:v>Kevin Whelan; Aaron S Bancil; James O Lindsay; Benoit Chassaing</x:v>
      </x:c>
      <x:c r="F17" s="27" t="str"/>
      <x:c r="G17" s="27" t="str">
        <x:v>Nature reviews. Gastroenterology &amp; hepatology</x:v>
      </x:c>
      <x:c r="H17" s="27" t="n">
        <x:v>2024</x:v>
      </x:c>
      <x:c r="I17" s="27" t="str">
        <x:v>https://pubmed.ncbi.nlm.nih.gov/38388570/</x:v>
      </x:c>
      <x:c r="J17" s="27" t="str">
        <x:v>https://pubmed.ncbi.nlm.nih.gov/38388570/</x:v>
      </x:c>
      <x:c r="K17" s="27" t="str">
        <x:v>38388570</x:v>
      </x:c>
      <x:c r="L17" s="27" t="str"/>
      <x:c r="M17" s="27" t="str">
        <x:v>10.1038/s41575-024-00893-5</x:v>
      </x:c>
      <x:c r="N17" s="27" t="str">
        <x:v>public abstract verified; full text not legally obtained</x:v>
      </x:c>
      <x:c r="O17" s="27" t="str">
        <x:v>https://pubmed.ncbi.nlm.nih.gov/38388570/</x:v>
      </x:c>
      <x:c r="P17" s="27" t="str"/>
      <x:c r="Q17" s="27" t="str">
        <x:v>ibd_general</x:v>
      </x:c>
      <x:c r="R17" s="27" t="str">
        <x:v>general_or_unspecified</x:v>
      </x:c>
      <x:c r="S17" s="27" t="str">
        <x:v>review</x:v>
      </x:c>
      <x:c r="T17" s="27" t="str">
        <x:v>People with IBD or source-defined population; details require full-text review</x:v>
      </x:c>
      <x:c r="U17" s="27" t="str">
        <x:v>For example, evidence shows that some emulsifiers, sweeteners, colours, and microparticles and nanoparticles have effects on a range of outcomes, including the gut microbiome, intestinal permeability and intestinal inflammation.</x:v>
      </x:c>
      <x:c r="V17" s="27" t="str">
        <x:v>Automated metadata and passage extraction; full methods and tables require human review. Public full text available for deeper review.</x:v>
      </x:c>
      <x:c r="W17" s="27" t="str">
        <x:v>Publicly accessible for verification; downstream reuse rights were not assessed.</x:v>
      </x:c>
      <x:c r="X17" s="27" t="str">
        <x:v>Not reported in abstract</x:v>
      </x:c>
      <x:c r="Y17" s="27" t="str">
        <x:v>portable_with_qualification</x:v>
      </x:c>
      <x:c r="Z17" s="27" t="str">
        <x:v>Scientific findings may be relevant in Canada/US; local food, cultural, and healthcare context requires review.</x:v>
      </x:c>
      <x:c r="AA17" s="27" t="str">
        <x:v>pending_human_review</x:v>
      </x:c>
      <x:c r="AB17" s="30" t="str"/>
      <x:c r="AC17" s="30" t="str"/>
    </x:row>
    <x:row r="18" ht="82" customHeight="1">
      <x:c r="A18" s="27" t="str">
        <x:v>SRC-014</x:v>
      </x:c>
      <x:c r="B18" s="27" t="str">
        <x:v>verified_full_text</x:v>
      </x:c>
      <x:c r="C18" s="27" t="str">
        <x:v>Physical Activity is Associated with a Decreased Risk of Developing Inflammatory Bowel Disease: A Systematic Review and Meta-analysis.</x:v>
      </x:c>
      <x:c r="D18" s="27" t="str">
        <x:v>review</x:v>
      </x:c>
      <x:c r="E18" s="27" t="str">
        <x:v>Ho Tuan Tiong; Dali Fan; Chris Frampton; Ashwin N Ananthakrishnan; Richard B Gearry</x:v>
      </x:c>
      <x:c r="F18" s="27" t="str"/>
      <x:c r="G18" s="27" t="str">
        <x:v>Journal of Crohn's &amp; colitis</x:v>
      </x:c>
      <x:c r="H18" s="27" t="n">
        <x:v>2024</x:v>
      </x:c>
      <x:c r="I18" s="27" t="str">
        <x:v>https://pubmed.ncbi.nlm.nih.gov/38597690/</x:v>
      </x:c>
      <x:c r="J18" s="27" t="str">
        <x:v>https://pubmed.ncbi.nlm.nih.gov/38597690/</x:v>
      </x:c>
      <x:c r="K18" s="27" t="str">
        <x:v>38597690</x:v>
      </x:c>
      <x:c r="L18" s="27" t="str"/>
      <x:c r="M18" s="27" t="str">
        <x:v>10.1093/ecco-jcc/jjae053</x:v>
      </x:c>
      <x:c r="N18" s="27" t="str">
        <x:v>official public full text verified</x:v>
      </x:c>
      <x:c r="O18" s="27" t="str">
        <x:v>https://academic.oup.com/ecco-jcc/article/18/9/1476/7643393</x:v>
      </x:c>
      <x:c r="P18" s="27" t="str"/>
      <x:c r="Q18" s="27" t="str">
        <x:v>ulcerative_colitis; crohns_disease; ibd_general</x:v>
      </x:c>
      <x:c r="R18" s="27" t="str">
        <x:v>general_or_unspecified</x:v>
      </x:c>
      <x:c r="S18" s="27" t="str">
        <x:v>meta-analysis</x:v>
      </x:c>
      <x:c r="T18" s="27" t="str">
        <x:v>People with IBD or source-defined population; details require full-text review</x:v>
      </x:c>
      <x:c r="U18" s="27" t="str">
        <x:v>CONCLUSION: This meta-analysis suggests that physical activity is inversely associated with the risk of developing IBD, more so in CD than in UC.</x:v>
      </x:c>
      <x:c r="V18" s="27" t="str">
        <x:v>Automated metadata and passage extraction; full methods and tables require human review. Abstract-only record limits appraisal.</x:v>
      </x:c>
      <x:c r="W18" s="27" t="str">
        <x:v>Publicly accessible for verification; downstream reuse rights were not assessed.</x:v>
      </x:c>
      <x:c r="X18" s="27" t="str">
        <x:v>Not reported in abstract</x:v>
      </x:c>
      <x:c r="Y18" s="27" t="str">
        <x:v>portable_with_qualification</x:v>
      </x:c>
      <x:c r="Z18" s="27" t="str">
        <x:v>Scientific findings may be relevant in Canada/US; local food, cultural, and healthcare context requires review.</x:v>
      </x:c>
      <x:c r="AA18" s="27" t="str">
        <x:v>pending_human_review</x:v>
      </x:c>
      <x:c r="AB18" s="30" t="str"/>
      <x:c r="AC18" s="30" t="str"/>
    </x:row>
    <x:row r="19" ht="82" customHeight="1">
      <x:c r="A19" s="27" t="str">
        <x:v>SRC-015</x:v>
      </x:c>
      <x:c r="B19" s="27" t="str">
        <x:v>verified_abstract_only</x:v>
      </x:c>
      <x:c r="C19" s="27" t="str">
        <x:v>Environmental Risk Factors for Inflammatory Bowel Diseases: An Umbrella Review of Meta-analyses.</x:v>
      </x:c>
      <x:c r="D19" s="27" t="str">
        <x:v>review</x:v>
      </x:c>
      <x:c r="E19" s="27" t="str">
        <x:v>Daniele Piovani; Silvio Danese; Laurent Peyrin-Biroulet; Georgios K Nikolopoulos; Theodore Lytras; Stefanos Bonovas</x:v>
      </x:c>
      <x:c r="F19" s="27" t="str"/>
      <x:c r="G19" s="27" t="str">
        <x:v>Gastroenterology</x:v>
      </x:c>
      <x:c r="H19" s="27" t="n">
        <x:v>2019</x:v>
      </x:c>
      <x:c r="I19" s="27" t="str">
        <x:v>https://pubmed.ncbi.nlm.nih.gov/31014995/</x:v>
      </x:c>
      <x:c r="J19" s="27" t="str">
        <x:v>https://pubmed.ncbi.nlm.nih.gov/31014995/</x:v>
      </x:c>
      <x:c r="K19" s="27" t="str">
        <x:v>31014995</x:v>
      </x:c>
      <x:c r="L19" s="27" t="str"/>
      <x:c r="M19" s="27" t="str">
        <x:v>10.1053/j.gastro.2019.04.016</x:v>
      </x:c>
      <x:c r="N19" s="27" t="str">
        <x:v>public abstract verified; full text not legally obtained</x:v>
      </x:c>
      <x:c r="O19" s="27" t="str">
        <x:v>https://pubmed.ncbi.nlm.nih.gov/31014995/</x:v>
      </x:c>
      <x:c r="P19" s="27" t="str"/>
      <x:c r="Q19" s="27" t="str">
        <x:v>ulcerative_colitis; crohns_disease; ibd_general</x:v>
      </x:c>
      <x:c r="R19" s="27" t="str">
        <x:v>general_or_unspecified</x:v>
      </x:c>
      <x:c r="S19" s="27" t="str">
        <x:v>meta-analysis</x:v>
      </x:c>
      <x:c r="T19" s="27" t="str">
        <x:v>People with IBD or source-defined population; details require full-text review</x:v>
      </x:c>
      <x:c r="U19" s="27" t="str">
        <x:v>BACKGROUND &amp; AIMS: Multiple environmental factors have been associated with the development of inflammatory bowel diseases (IBDs).</x:v>
      </x:c>
      <x:c r="V19" s="27" t="str">
        <x:v>Automated metadata and passage extraction; full methods and tables require human review. Abstract-only record limits appraisal.</x:v>
      </x:c>
      <x:c r="W19" s="27" t="str">
        <x:v>Publicly accessible for verification; downstream reuse rights were not assessed.</x:v>
      </x:c>
      <x:c r="X19" s="27" t="str">
        <x:v>Not reported in abstract</x:v>
      </x:c>
      <x:c r="Y19" s="27" t="str">
        <x:v>portable_with_qualification</x:v>
      </x:c>
      <x:c r="Z19" s="27" t="str">
        <x:v>Scientific findings may be relevant in Canada/US; local food, cultural, and healthcare context requires review.</x:v>
      </x:c>
      <x:c r="AA19" s="27" t="str">
        <x:v>pending_human_review</x:v>
      </x:c>
      <x:c r="AB19" s="30" t="str"/>
      <x:c r="AC19" s="30" t="str"/>
    </x:row>
    <x:row r="20" ht="82" customHeight="1">
      <x:c r="A20" s="27" t="str">
        <x:v>SRC-016</x:v>
      </x:c>
      <x:c r="B20" s="27" t="str">
        <x:v>verified_full_text</x:v>
      </x:c>
      <x:c r="C20" s="27" t="str">
        <x:v>A Randomized Trial Comparing the Specific Carbohydrate Diet to a Mediterranean Diet in Adults With Crohn's Disease.</x:v>
      </x:c>
      <x:c r="D20" s="27" t="str">
        <x:v>study</x:v>
      </x:c>
      <x:c r="E20" s="27" t="str">
        <x:v>James D Lewis; Robert S Sandler; Carol Brotherton; Colleen Brensinger; Hongzhe Li; Michael D Kappelman; Scott G Daniel; Kyle Bittinger; Lindsey Albenberg; John F Valentine; John S Hanson; David L Suskind; Andrea Meyer; Charlene W Compher; Meenakshi Bewtra; Akriti Saxena; Angela Dobes; Benjamin L Cohen; Ann D Flynn; Monika Fischer; Sumona Saha; Arun Swaminath; Bruce Yacyshyn; Ellen Scherl; Sara Horst; Jeffrey R Curtis; Kimberly Braly; Lisa Nessel; Maureen McCauley; Liam McKeever; Hans Herfarth; DINE-CD Study Group</x:v>
      </x:c>
      <x:c r="F20" s="27" t="str"/>
      <x:c r="G20" s="27" t="str">
        <x:v>Gastroenterology</x:v>
      </x:c>
      <x:c r="H20" s="27" t="n">
        <x:v>2021</x:v>
      </x:c>
      <x:c r="I20" s="27" t="str">
        <x:v>https://pubmed.ncbi.nlm.nih.gov/34052278/</x:v>
      </x:c>
      <x:c r="J20" s="27" t="str">
        <x:v>https://pubmed.ncbi.nlm.nih.gov/34052278/</x:v>
      </x:c>
      <x:c r="K20" s="27" t="str">
        <x:v>34052278</x:v>
      </x:c>
      <x:c r="L20" s="27" t="str">
        <x:v>PMC8396394</x:v>
      </x:c>
      <x:c r="M20" s="27" t="str">
        <x:v>10.1053/j.gastro.2021.05.047</x:v>
      </x:c>
      <x:c r="N20" s="27" t="str">
        <x:v>official public full text verified</x:v>
      </x:c>
      <x:c r="O20" s="27" t="str">
        <x:v>https://pmc.ncbi.nlm.nih.gov/articles/PMC8396394/</x:v>
      </x:c>
      <x:c r="P20" s="27" t="str"/>
      <x:c r="Q20" s="27" t="str">
        <x:v>crohns_disease</x:v>
      </x:c>
      <x:c r="R20" s="27" t="str">
        <x:v>remission</x:v>
      </x:c>
      <x:c r="S20" s="27" t="str">
        <x:v>randomized controlled trial</x:v>
      </x:c>
      <x:c r="T20" s="27" t="str">
        <x:v>Adults with IBD, as specified</x:v>
      </x:c>
      <x:c r="U20" s="27" t="str">
        <x:v>CONCLUSIONS: The SCD was not superior to the MD to achieve symptomatic remission, FC response, and CRP response.</x:v>
      </x:c>
      <x:c r="V20" s="27" t="str">
        <x:v>Automated metadata and passage extraction; full methods and tables require human review. Public full text available for deeper review.</x:v>
      </x:c>
      <x:c r="W20" s="27" t="str">
        <x:v>Publicly accessible for verification; downstream reuse rights were not assessed.</x:v>
      </x:c>
      <x:c r="X20" s="27" t="str">
        <x:v>Not reported in abstract</x:v>
      </x:c>
      <x:c r="Y20" s="27" t="str">
        <x:v>portable_with_qualification</x:v>
      </x:c>
      <x:c r="Z20" s="27" t="str">
        <x:v>Scientific findings may be relevant in Canada/US; local food, cultural, and healthcare context requires review.</x:v>
      </x:c>
      <x:c r="AA20" s="27" t="str">
        <x:v>pending_human_review</x:v>
      </x:c>
      <x:c r="AB20" s="30" t="str"/>
      <x:c r="AC20" s="30" t="str"/>
    </x:row>
    <x:row r="21" ht="82" customHeight="1">
      <x:c r="A21" s="27" t="str">
        <x:v>SRC-017</x:v>
      </x:c>
      <x:c r="B21" s="27" t="str">
        <x:v>verified_abstract_only</x:v>
      </x:c>
      <x:c r="C21" s="27" t="str">
        <x:v>Crohn's Disease Exclusion Diet Plus Partial Enteral Nutrition Induces Sustained Remission in a Randomized Controlled Trial.</x:v>
      </x:c>
      <x:c r="D21" s="27" t="str">
        <x:v>study</x:v>
      </x:c>
      <x:c r="E21" s="27" t="str">
        <x:v>Arie Levine; Eytan Wine; Amit Assa; Rotem Sigall Boneh; Ron Shaoul; Michal Kori; Shlomi Cohen; Sarit Peleg; Hussein Shamaly; Avi On; Peri Millman; Lee Abramas; Tomer Ziv-Baran; Shannan Grant; Guila Abitbol; Katherine A Dunn; Joseph P Bielawski; Johan Van Limbergen</x:v>
      </x:c>
      <x:c r="F21" s="27" t="str"/>
      <x:c r="G21" s="27" t="str">
        <x:v>Gastroenterology</x:v>
      </x:c>
      <x:c r="H21" s="27" t="n">
        <x:v>2019</x:v>
      </x:c>
      <x:c r="I21" s="27" t="str">
        <x:v>https://pubmed.ncbi.nlm.nih.gov/31170412/</x:v>
      </x:c>
      <x:c r="J21" s="27" t="str">
        <x:v>https://pubmed.ncbi.nlm.nih.gov/31170412/</x:v>
      </x:c>
      <x:c r="K21" s="27" t="str">
        <x:v>31170412</x:v>
      </x:c>
      <x:c r="L21" s="27" t="str"/>
      <x:c r="M21" s="27" t="str">
        <x:v>10.1053/j.gastro.2019.04.021</x:v>
      </x:c>
      <x:c r="N21" s="27" t="str">
        <x:v>public abstract verified; full text not legally obtained</x:v>
      </x:c>
      <x:c r="O21" s="27" t="str">
        <x:v>https://pubmed.ncbi.nlm.nih.gov/31170412/</x:v>
      </x:c>
      <x:c r="P21" s="27" t="str"/>
      <x:c r="Q21" s="27" t="str">
        <x:v>crohns_disease</x:v>
      </x:c>
      <x:c r="R21" s="27" t="str">
        <x:v>remission</x:v>
      </x:c>
      <x:c r="S21" s="27" t="str">
        <x:v>randomized controlled trial</x:v>
      </x:c>
      <x:c r="T21" s="27" t="str">
        <x:v>Children or adolescents with IBD, as specified</x:v>
      </x:c>
      <x:c r="U21" s="27" t="str">
        <x:v>BACKGROUND &amp; AIMS: Exclusive enteral nutrition (EEN) is recommended for children with mild to moderate Crohn's disease (CD), but implementation is challenging.</x:v>
      </x:c>
      <x:c r="V21" s="27" t="str">
        <x:v>Automated metadata and passage extraction; full methods and tables require human review. Abstract-only record limits appraisal.</x:v>
      </x:c>
      <x:c r="W21" s="27" t="str">
        <x:v>Publicly accessible for verification; downstream reuse rights were not assessed.</x:v>
      </x:c>
      <x:c r="X21" s="27" t="str">
        <x:v>Not reported in abstract</x:v>
      </x:c>
      <x:c r="Y21" s="27" t="str">
        <x:v>portable_with_qualification</x:v>
      </x:c>
      <x:c r="Z21" s="27" t="str">
        <x:v>Scientific findings may be relevant in Canada/US; local food, cultural, and healthcare context requires review.</x:v>
      </x:c>
      <x:c r="AA21" s="27" t="str">
        <x:v>pending_human_review</x:v>
      </x:c>
      <x:c r="AB21" s="30" t="str"/>
      <x:c r="AC21" s="30" t="str"/>
    </x:row>
    <x:row r="22" ht="82" customHeight="1">
      <x:c r="A22" s="27" t="str">
        <x:v>SRC-018</x:v>
      </x:c>
      <x:c r="B22" s="27" t="str">
        <x:v>verified_full_text</x:v>
      </x:c>
      <x:c r="C22" s="27" t="str">
        <x:v>A Diet Low in Red and Processed Meat Does Not Reduce Rate of Crohn's Disease Flares.</x:v>
      </x:c>
      <x:c r="D22" s="27" t="str">
        <x:v>study</x:v>
      </x:c>
      <x:c r="E22" s="27" t="str">
        <x:v>Lindsey Albenberg; Colleen M Brensinger; Qufei Wu; Erin Gilroy; Michael D Kappelman; Robert S Sandler; James D Lewis</x:v>
      </x:c>
      <x:c r="F22" s="27" t="str"/>
      <x:c r="G22" s="27" t="str">
        <x:v>Gastroenterology</x:v>
      </x:c>
      <x:c r="H22" s="27" t="n">
        <x:v>2019</x:v>
      </x:c>
      <x:c r="I22" s="27" t="str">
        <x:v>https://pubmed.ncbi.nlm.nih.gov/30872105/</x:v>
      </x:c>
      <x:c r="J22" s="27" t="str">
        <x:v>https://pubmed.ncbi.nlm.nih.gov/30872105/</x:v>
      </x:c>
      <x:c r="K22" s="27" t="str">
        <x:v>30872105</x:v>
      </x:c>
      <x:c r="L22" s="27" t="str">
        <x:v>PMC6726378</x:v>
      </x:c>
      <x:c r="M22" s="27" t="str">
        <x:v>10.1053/j.gastro.2019.03.015</x:v>
      </x:c>
      <x:c r="N22" s="27" t="str">
        <x:v>official public full text verified</x:v>
      </x:c>
      <x:c r="O22" s="27" t="str">
        <x:v>https://pmc.ncbi.nlm.nih.gov/articles/PMC6726378/</x:v>
      </x:c>
      <x:c r="P22" s="27" t="str"/>
      <x:c r="Q22" s="27" t="str">
        <x:v>crohns_disease; ibd_general</x:v>
      </x:c>
      <x:c r="R22" s="27" t="str">
        <x:v>remission; post_surgery</x:v>
      </x:c>
      <x:c r="S22" s="27" t="str">
        <x:v>randomized controlled trial</x:v>
      </x:c>
      <x:c r="T22" s="27" t="str">
        <x:v>Adults with IBD, as specified</x:v>
      </x:c>
      <x:c r="U22" s="27" t="str">
        <x:v>We performed a randomized controlled trial to determine whether reduced consumption of red and processed meats decreases the risk of symptomatic relapse of CD, analyzing results from the Food and Crohn's Disease Exacerbation Study (FACES) trial.</x:v>
      </x:c>
      <x:c r="V22" s="27" t="str">
        <x:v>Automated metadata and passage extraction; full methods and tables require human review. Public full text available for deeper review.</x:v>
      </x:c>
      <x:c r="W22" s="27" t="str">
        <x:v>Publicly accessible for verification; downstream reuse rights were not assessed.</x:v>
      </x:c>
      <x:c r="X22" s="27" t="str">
        <x:v>Not reported in abstract</x:v>
      </x:c>
      <x:c r="Y22" s="27" t="str">
        <x:v>portable_with_qualification</x:v>
      </x:c>
      <x:c r="Z22" s="27" t="str">
        <x:v>Scientific findings may be relevant in Canada/US; local food, cultural, and healthcare context requires review.</x:v>
      </x:c>
      <x:c r="AA22" s="27" t="str">
        <x:v>pending_human_review</x:v>
      </x:c>
      <x:c r="AB22" s="30" t="str"/>
      <x:c r="AC22" s="30" t="str"/>
    </x:row>
    <x:row r="23" ht="82" customHeight="1">
      <x:c r="A23" s="27" t="str">
        <x:v>SRC-019</x:v>
      </x:c>
      <x:c r="B23" s="27" t="str">
        <x:v>verified_full_text</x:v>
      </x:c>
      <x:c r="C23" s="27" t="str">
        <x:v>A randomized, 6-wk trial of a low FODMAP diet in patients with inflammatory bowel disease.</x:v>
      </x:c>
      <x:c r="D23" s="27" t="str">
        <x:v>study</x:v>
      </x:c>
      <x:c r="E23" s="27" t="str">
        <x:v>Giorgia Bodini; Claudia Zanella; Mattia Crespi; Sara Lo Pumo; Maria Giulia Demarzo; Edoardo Savarino; Vincenzo Savarino; Edoardo G Giannini</x:v>
      </x:c>
      <x:c r="F23" s="27" t="str"/>
      <x:c r="G23" s="27" t="str">
        <x:v>Nutrition (Burbank, Los Angeles County, Calif.)</x:v>
      </x:c>
      <x:c r="H23" s="27" t="n">
        <x:v>2019</x:v>
      </x:c>
      <x:c r="I23" s="27" t="str">
        <x:v>https://pubmed.ncbi.nlm.nih.gov/31470260/</x:v>
      </x:c>
      <x:c r="J23" s="27" t="str">
        <x:v>https://pubmed.ncbi.nlm.nih.gov/31470260/</x:v>
      </x:c>
      <x:c r="K23" s="27" t="str">
        <x:v>31470260</x:v>
      </x:c>
      <x:c r="L23" s="27" t="str"/>
      <x:c r="M23" s="27" t="str">
        <x:v>10.1016/j.nut.2019.06.023</x:v>
      </x:c>
      <x:c r="N23" s="27" t="str">
        <x:v>official public full text verified</x:v>
      </x:c>
      <x:c r="O23" s="27" t="str">
        <x:v>https://files.commons.gc.cuny.edu/wp-content/blogs.dir/9362/files/2021/11/bodini2019.pdf</x:v>
      </x:c>
      <x:c r="P23" s="27" t="str"/>
      <x:c r="Q23" s="27" t="str">
        <x:v>ibd_general</x:v>
      </x:c>
      <x:c r="R23" s="27" t="str">
        <x:v>remission</x:v>
      </x:c>
      <x:c r="S23" s="27" t="str">
        <x:v>randomized controlled trial</x:v>
      </x:c>
      <x:c r="T23" s="27" t="str">
        <x:v>People with IBD or source-defined population; details require full-text review</x:v>
      </x:c>
      <x:c r="U23" s="27" t="str">
        <x:v>CONCLUSIONS: A short-term, LFD is safe for patients with IBD, and is associated with an amelioration of fecal inflammatory markers and quality of life even in patients with mainly quiescent disease.</x:v>
      </x:c>
      <x:c r="V23" s="27" t="str">
        <x:v>Automated metadata and passage extraction; full methods and tables require human review. Abstract-only record limits appraisal.</x:v>
      </x:c>
      <x:c r="W23" s="27" t="str">
        <x:v>Publicly accessible for verification; downstream reuse rights were not assessed.</x:v>
      </x:c>
      <x:c r="X23" s="27" t="str">
        <x:v>Not reported in abstract</x:v>
      </x:c>
      <x:c r="Y23" s="27" t="str">
        <x:v>portable_with_qualification</x:v>
      </x:c>
      <x:c r="Z23" s="27" t="str">
        <x:v>Scientific findings may be relevant in Canada/US; local food, cultural, and healthcare context requires review.</x:v>
      </x:c>
      <x:c r="AA23" s="27" t="str">
        <x:v>pending_human_review</x:v>
      </x:c>
      <x:c r="AB23" s="30" t="str"/>
      <x:c r="AC23" s="30" t="str"/>
    </x:row>
    <x:row r="24" ht="82" customHeight="1">
      <x:c r="A24" s="27" t="str">
        <x:v>SRC-020</x:v>
      </x:c>
      <x:c r="B24" s="27" t="str">
        <x:v>verified_full_text</x:v>
      </x:c>
      <x:c r="C24" s="27" t="str">
        <x:v>Association of ultra-processed food intake with risk of inflammatory bowel disease: prospective cohort study.</x:v>
      </x:c>
      <x:c r="D24" s="27" t="str">
        <x:v>study</x:v>
      </x:c>
      <x:c r="E24" s="27" t="str">
        <x:v>Neeraj Narula; Emily C L Wong; Mahshid Dehghan; Andrew Mente; Sumathy Rangarajan; Fernando Lanas; Patricio Lopez-Jaramillo; Priyanka Rohatgi; P V M Lakshmi; Ravi Prasad Varma; Andres Orlandini; Alvaro Avezum; Andreas Wielgosz; Paul Poirier; Majid A Almadi; Yuksel Altuntas; Kien Keat Ng; Jephat Chifamba; Karen Yeates; Thandi Puoane; Rasha Khatib; Rita Yusuf; Kristina Bengtsson Boström; Katarzyna Zatonska; Romaina Iqbal; Liu Weida; Zhu Yibing; Li Sidong; Antonio Dans; Afzalhussein Yusufali; Noushin Mohammadifard; John K Marshall; Paul Moayyedi; Walter Reinisch; Salim Yusuf</x:v>
      </x:c>
      <x:c r="F24" s="27" t="str"/>
      <x:c r="G24" s="27" t="str">
        <x:v>BMJ (Clinical research ed.)</x:v>
      </x:c>
      <x:c r="H24" s="27" t="n">
        <x:v>2021</x:v>
      </x:c>
      <x:c r="I24" s="27" t="str">
        <x:v>https://pubmed.ncbi.nlm.nih.gov/34261638/</x:v>
      </x:c>
      <x:c r="J24" s="27" t="str">
        <x:v>https://pubmed.ncbi.nlm.nih.gov/34261638/</x:v>
      </x:c>
      <x:c r="K24" s="27" t="str">
        <x:v>34261638</x:v>
      </x:c>
      <x:c r="L24" s="27" t="str">
        <x:v>PMC8279036</x:v>
      </x:c>
      <x:c r="M24" s="27" t="str">
        <x:v>10.1136/bmj.n1554</x:v>
      </x:c>
      <x:c r="N24" s="27" t="str">
        <x:v>official public full text verified</x:v>
      </x:c>
      <x:c r="O24" s="27" t="str">
        <x:v>https://pmc.ncbi.nlm.nih.gov/articles/PMC8279036/</x:v>
      </x:c>
      <x:c r="P24" s="27" t="str"/>
      <x:c r="Q24" s="27" t="str">
        <x:v>ulcerative_colitis; crohns_disease; ibd_general</x:v>
      </x:c>
      <x:c r="R24" s="27" t="str">
        <x:v>general_or_unspecified</x:v>
      </x:c>
      <x:c r="S24" s="27" t="str">
        <x:v>observational study</x:v>
      </x:c>
      <x:c r="T24" s="27" t="str">
        <x:v>Adults with IBD, as specified</x:v>
      </x:c>
      <x:c r="U24" s="27" t="str">
        <x:v>After adjustment for potential confounding factors, higher intake of ultra-processed food was associated with a higher risk of incident IBD (hazard ratio 1.82, 95% confidence interval 1.22 to 2.72 for ≥5 servings/day and 1.67, 1.18 to 2.37 for 1-4 servings/day compared with &lt;1 serving/day, P=0.006 for trend).</x:v>
      </x:c>
      <x:c r="V24" s="27" t="str">
        <x:v>Automated metadata and passage extraction; full methods and tables require human review. Public full text available for deeper review.</x:v>
      </x:c>
      <x:c r="W24" s="27" t="str">
        <x:v>Publicly accessible for verification; downstream reuse rights were not assessed.</x:v>
      </x:c>
      <x:c r="X24" s="27" t="str">
        <x:v>Europe</x:v>
      </x:c>
      <x:c r="Y24" s="27" t="str">
        <x:v>portable_with_qualification</x:v>
      </x:c>
      <x:c r="Z24" s="27" t="str">
        <x:v>Scientific findings may be relevant in Canada/US; local food, cultural, and healthcare context requires review.</x:v>
      </x:c>
      <x:c r="AA24" s="27" t="str">
        <x:v>pending_human_review</x:v>
      </x:c>
      <x:c r="AB24" s="30" t="str"/>
      <x:c r="AC24" s="30" t="str"/>
    </x:row>
    <x:row r="25" ht="82" customHeight="1">
      <x:c r="A25" s="27" t="str">
        <x:v>SRC-021</x:v>
      </x:c>
      <x:c r="B25" s="27" t="str">
        <x:v>verified_guideline</x:v>
      </x:c>
      <x:c r="C25" s="27" t="str">
        <x:v>European Crohn’s and Colitis Organisation consensus on dietary management of inflammatory bowel disease</x:v>
      </x:c>
      <x:c r="D25" s="27" t="str">
        <x:v>guideline</x:v>
      </x:c>
      <x:c r="E25" s="27" t="str"/>
      <x:c r="F25" s="27" t="str">
        <x:v>European Crohn’s and Colitis Organisation</x:v>
      </x:c>
      <x:c r="G25" s="27" t="str"/>
      <x:c r="H25" s="27" t="n">
        <x:v>2025</x:v>
      </x:c>
      <x:c r="I25" s="27" t="str">
        <x:v>https://academic.oup.com/ecco-jcc/article/19/9/jjaf122/8198055</x:v>
      </x:c>
      <x:c r="J25" s="27" t="str">
        <x:v>https://academic.oup.com/ecco-jcc/article/19/9/jjaf122/8198055</x:v>
      </x:c>
      <x:c r="K25" s="27" t="str"/>
      <x:c r="L25" s="27" t="str"/>
      <x:c r="M25" s="27" t="str">
        <x:v>10.1093/ecco-jcc/jjaf122</x:v>
      </x:c>
      <x:c r="N25" s="27" t="str">
        <x:v>official public full text verified</x:v>
      </x:c>
      <x:c r="O25" s="27" t="str">
        <x:v>https://ecco-ibd.eu/publications/news/issues/2025/volume-20-issue-4/dietary-management-of-inflammatory-bowel-disease-an-ecco-consensus</x:v>
      </x:c>
      <x:c r="P25" s="27" t="str"/>
      <x:c r="Q25" s="27" t="str">
        <x:v>ulcerative_colitis; crohns_disease; ibd_general</x:v>
      </x:c>
      <x:c r="R25" s="27" t="str">
        <x:v>general_or_unspecified</x:v>
      </x:c>
      <x:c r="S25" s="27" t="str">
        <x:v>consensus statement</x:v>
      </x:c>
      <x:c r="T25" s="27" t="str">
        <x:v>Adults with IBD and caregivers</x:v>
      </x:c>
      <x:c r="U25" s="27" t="str">
        <x:v>In the absence of a specific dietary intervention that is recommended by an IBD healthcare professional, healthy eating guidelines should be followed by people with IBD, as recommended for the general population.</x:v>
      </x:c>
      <x:c r="V25" s="27" t="str">
        <x:v>Patient information is explanatory, not a substitute for clinical evidence or individualized care.</x:v>
      </x:c>
      <x:c r="W25" s="27" t="str">
        <x:v>Publicly accessible for verification; downstream reuse rights were not assessed.</x:v>
      </x:c>
      <x:c r="X25" s="27" t="str">
        <x:v>Europe/international</x:v>
      </x:c>
      <x:c r="Y25" s="27" t="str">
        <x:v>portable_with_qualification</x:v>
      </x:c>
      <x:c r="Z25" s="27" t="str">
        <x:v>ECCO consensus; recommendations require local Canada/US clinician and dietitian interpretation.</x:v>
      </x:c>
      <x:c r="AA25" s="27" t="str">
        <x:v>pending_human_review</x:v>
      </x:c>
      <x:c r="AB25" s="30" t="str"/>
      <x:c r="AC25" s="30" t="str"/>
    </x:row>
    <x:row r="26" ht="82" customHeight="1">
      <x:c r="A26" s="27" t="str">
        <x:v>SRC-022</x:v>
      </x:c>
      <x:c r="B26" s="27" t="str">
        <x:v>verified_guideline</x:v>
      </x:c>
      <x:c r="C26" s="27" t="str">
        <x:v>ECCO Guidelines on Therapeutics in Crohn’s Disease: Medical Treatment</x:v>
      </x:c>
      <x:c r="D26" s="27" t="str">
        <x:v>guideline</x:v>
      </x:c>
      <x:c r="E26" s="27" t="str"/>
      <x:c r="F26" s="27" t="str">
        <x:v>European Crohn’s and Colitis Organisation</x:v>
      </x:c>
      <x:c r="G26" s="27" t="str"/>
      <x:c r="H26" s="27" t="n">
        <x:v>2024</x:v>
      </x:c>
      <x:c r="I26" s="27" t="str">
        <x:v>https://academic.oup.com/ecco-jcc/article/18/10/1531/7693895</x:v>
      </x:c>
      <x:c r="J26" s="27" t="str">
        <x:v>https://academic.oup.com/ecco-jcc/article/18/10/1531/7693895</x:v>
      </x:c>
      <x:c r="K26" s="27" t="str"/>
      <x:c r="L26" s="27" t="str"/>
      <x:c r="M26" s="27" t="str">
        <x:v>10.1093/ecco-jcc/jjae091</x:v>
      </x:c>
      <x:c r="N26" s="27" t="str">
        <x:v>official public full text verified</x:v>
      </x:c>
      <x:c r="O26" s="27" t="str">
        <x:v>https://academic.oup.com/ecco-jcc/article/18/10/1531/7693895</x:v>
      </x:c>
      <x:c r="P26" s="27" t="str"/>
      <x:c r="Q26" s="27" t="str">
        <x:v>crohns_disease</x:v>
      </x:c>
      <x:c r="R26" s="27" t="str">
        <x:v>general_or_unspecified</x:v>
      </x:c>
      <x:c r="S26" s="27" t="str">
        <x:v>clinical guideline</x:v>
      </x:c>
      <x:c r="T26" s="27" t="str">
        <x:v>Adults with IBD and caregivers</x:v>
      </x:c>
      <x:c r="U26" s="27" t="str">
        <x:v>There is emerging evidence that dietary therapies may be beneficial in reducing the inflammatory burden in Crohn's disease.</x:v>
      </x:c>
      <x:c r="V26" s="27" t="str">
        <x:v>Patient information is explanatory, not a substitute for clinical evidence or individualized care.</x:v>
      </x:c>
      <x:c r="W26" s="27" t="str">
        <x:v>Publicly accessible for verification; downstream reuse rights were not assessed.</x:v>
      </x:c>
      <x:c r="X26" s="27" t="str">
        <x:v>Europe/international</x:v>
      </x:c>
      <x:c r="Y26" s="27" t="str">
        <x:v>portable_with_qualification</x:v>
      </x:c>
      <x:c r="Z26" s="27" t="str">
        <x:v>ECCO guidance; healthcare delivery and formula availability may differ in Canada/US.</x:v>
      </x:c>
      <x:c r="AA26" s="27" t="str">
        <x:v>pending_human_review</x:v>
      </x:c>
      <x:c r="AB26" s="30" t="str"/>
      <x:c r="AC26" s="30" t="str"/>
    </x:row>
    <x:row r="27" ht="82" customHeight="1">
      <x:c r="A27" s="27" t="str">
        <x:v>SRC-023</x:v>
      </x:c>
      <x:c r="B27" s="27" t="str">
        <x:v>verified_full_text</x:v>
      </x:c>
      <x:c r="C27" s="27" t="str">
        <x:v>Eating, Diet, &amp; Nutrition for Crohn’s Disease</x:v>
      </x:c>
      <x:c r="D27" s="27" t="str">
        <x:v>expert</x:v>
      </x:c>
      <x:c r="E27" s="27" t="str"/>
      <x:c r="F27" s="27" t="str">
        <x:v>National Institute of Diabetes and Digestive and Kidney Diseases</x:v>
      </x:c>
      <x:c r="G27" s="27" t="str"/>
      <x:c r="H27" s="27" t="n">
        <x:v>2024</x:v>
      </x:c>
      <x:c r="I27" s="27" t="str">
        <x:v>https://www.niddk.nih.gov/health-information/digestive-diseases/crohns-disease/eating-diet-nutrition</x:v>
      </x:c>
      <x:c r="J27" s="27" t="str">
        <x:v>https://www.niddk.nih.gov/health-information/digestive-diseases/crohns-disease/eating-diet-nutrition</x:v>
      </x:c>
      <x:c r="K27" s="27" t="str"/>
      <x:c r="L27" s="27" t="str"/>
      <x:c r="M27" s="27" t="str"/>
      <x:c r="N27" s="27" t="str">
        <x:v>official public full text verified</x:v>
      </x:c>
      <x:c r="O27" s="27" t="str">
        <x:v>https://www.niddk.nih.gov/health-information/digestive-diseases/crohns-disease/eating-diet-nutrition</x:v>
      </x:c>
      <x:c r="P27" s="27" t="str"/>
      <x:c r="Q27" s="27" t="str">
        <x:v>crohns_disease</x:v>
      </x:c>
      <x:c r="R27" s="27" t="str">
        <x:v>general_or_unspecified</x:v>
      </x:c>
      <x:c r="S27" s="27" t="str">
        <x:v>official patient information</x:v>
      </x:c>
      <x:c r="T27" s="27" t="str">
        <x:v>Adults with IBD and caregivers</x:v>
      </x:c>
      <x:c r="U27" s="27" t="str">
        <x:v>Depending on your symptoms and the medicines you take, your doctor may recommend changes to what you eat and drink.</x:v>
      </x:c>
      <x:c r="V27" s="27" t="str">
        <x:v>Patient information is explanatory, not a substitute for clinical evidence or individualized care.</x:v>
      </x:c>
      <x:c r="W27" s="27" t="str">
        <x:v>Publicly accessible for verification; downstream reuse rights were not assessed.</x:v>
      </x:c>
      <x:c r="X27" s="27" t="str">
        <x:v>United States</x:v>
      </x:c>
      <x:c r="Y27" s="27" t="str">
        <x:v>direct_us</x:v>
      </x:c>
      <x:c r="Z27" s="27" t="str">
        <x:v>US federal patient-information source; Canada should confirm local terminology and services.</x:v>
      </x:c>
      <x:c r="AA27" s="27" t="str">
        <x:v>pending_human_review</x:v>
      </x:c>
      <x:c r="AB27" s="30" t="str"/>
      <x:c r="AC27" s="30" t="str"/>
    </x:row>
    <x:row r="28" ht="82" customHeight="1">
      <x:c r="A28" s="27" t="str">
        <x:v>SRC-024</x:v>
      </x:c>
      <x:c r="B28" s="27" t="str">
        <x:v>verified_full_text</x:v>
      </x:c>
      <x:c r="C28" s="27" t="str">
        <x:v>What Should I Eat with IBD?</x:v>
      </x:c>
      <x:c r="D28" s="27" t="str">
        <x:v>expert</x:v>
      </x:c>
      <x:c r="E28" s="27" t="str"/>
      <x:c r="F28" s="27" t="str">
        <x:v>Crohn's &amp; Colitis Foundation</x:v>
      </x:c>
      <x:c r="G28" s="27" t="str"/>
      <x:c r="H28" s="27" t="n">
        <x:v>2026</x:v>
      </x:c>
      <x:c r="I28" s="27" t="str">
        <x:v>https://www.crohnscolitisfoundation.org/patientsandcaregivers/diet-and-nutrition/what-should-i-eat</x:v>
      </x:c>
      <x:c r="J28" s="27" t="str">
        <x:v>https://www.crohnscolitisfoundation.org/patientsandcaregivers/diet-and-nutrition/what-should-i-eat</x:v>
      </x:c>
      <x:c r="K28" s="27" t="str"/>
      <x:c r="L28" s="27" t="str"/>
      <x:c r="M28" s="27" t="str"/>
      <x:c r="N28" s="27" t="str">
        <x:v>official public full text verified</x:v>
      </x:c>
      <x:c r="O28" s="27" t="str">
        <x:v>https://www.crohnscolitisfoundation.org/patientsandcaregivers/diet-and-nutrition/what-should-i-eat</x:v>
      </x:c>
      <x:c r="P28" s="27" t="str"/>
      <x:c r="Q28" s="27" t="str">
        <x:v>ulcerative_colitis; crohns_disease; ibd_general</x:v>
      </x:c>
      <x:c r="R28" s="27" t="str">
        <x:v>general_or_unspecified</x:v>
      </x:c>
      <x:c r="S28" s="27" t="str">
        <x:v>official patient information</x:v>
      </x:c>
      <x:c r="T28" s="27" t="str">
        <x:v>Adults with IBD and caregivers</x:v>
      </x:c>
      <x:c r="U28" s="27" t="str">
        <x:v>After reviewing the recommendations, the Foundation has determined that the information in our Diet and Nutrition resources remains unchanged for the IBD community.</x:v>
      </x:c>
      <x:c r="V28" s="27" t="str">
        <x:v>Patient information is explanatory, not a substitute for clinical evidence or individualized care.</x:v>
      </x:c>
      <x:c r="W28" s="27" t="str">
        <x:v>Publicly accessible for verification; downstream reuse rights were not assessed.</x:v>
      </x:c>
      <x:c r="X28" s="27" t="str">
        <x:v>United States</x:v>
      </x:c>
      <x:c r="Y28" s="27" t="str">
        <x:v>direct_us</x:v>
      </x:c>
      <x:c r="Z28" s="27" t="str">
        <x:v>US IBD-organization source; broadly portable to Canada with local clinical review.</x:v>
      </x:c>
      <x:c r="AA28" s="27" t="str">
        <x:v>pending_human_review</x:v>
      </x:c>
      <x:c r="AB28" s="30" t="str"/>
      <x:c r="AC28" s="30" t="str"/>
    </x:row>
    <x:row r="29" ht="82" customHeight="1">
      <x:c r="A29" s="27" t="str">
        <x:v>SRC-025</x:v>
      </x:c>
      <x:c r="B29" s="27" t="str">
        <x:v>verified_full_text</x:v>
      </x:c>
      <x:c r="C29" s="27" t="str">
        <x:v>Food and IBD</x:v>
      </x:c>
      <x:c r="D29" s="27" t="str">
        <x:v>expert</x:v>
      </x:c>
      <x:c r="E29" s="27" t="str"/>
      <x:c r="F29" s="27" t="str">
        <x:v>Crohn's &amp; Colitis UK</x:v>
      </x:c>
      <x:c r="G29" s="27" t="str"/>
      <x:c r="H29" s="27" t="n">
        <x:v>2026</x:v>
      </x:c>
      <x:c r="I29" s="27" t="str">
        <x:v>https://www.crohnsandcolitis.org.uk/info-support/information-about-crohns-and-colitis/all-information-about-crohns-and-colitis/living-with-crohns-or-colitis/food</x:v>
      </x:c>
      <x:c r="J29" s="27" t="str">
        <x:v>https://www.crohnsandcolitis.org.uk/info-support/information-about-crohns-and-colitis/all-information-about-crohns-and-colitis/living-with-crohns-or-colitis/food</x:v>
      </x:c>
      <x:c r="K29" s="27" t="str"/>
      <x:c r="L29" s="27" t="str"/>
      <x:c r="M29" s="27" t="str"/>
      <x:c r="N29" s="27" t="str">
        <x:v>official public full text verified</x:v>
      </x:c>
      <x:c r="O29" s="27" t="str">
        <x:v>https://www.crohnsandcolitis.org.uk/info-support/information-about-crohns-and-colitis/all-information-about-crohns-and-colitis/living-with-crohns-or-colitis/food</x:v>
      </x:c>
      <x:c r="P29" s="27" t="str"/>
      <x:c r="Q29" s="27" t="str">
        <x:v>ulcerative_colitis; crohns_disease; ibd_general</x:v>
      </x:c>
      <x:c r="R29" s="27" t="str">
        <x:v>general_or_unspecified</x:v>
      </x:c>
      <x:c r="S29" s="27" t="str">
        <x:v>official patient information</x:v>
      </x:c>
      <x:c r="T29" s="27" t="str">
        <x:v>Adults with IBD and caregivers</x:v>
      </x:c>
      <x:c r="U29" s="27" t="str">
        <x:v>Melanie Living with Crohn's Fruit and vegetables It is recommended that people try to eat at least five portions of a variety of fruit and vegetables every day.</x:v>
      </x:c>
      <x:c r="V29" s="27" t="str">
        <x:v>Patient information is explanatory, not a substitute for clinical evidence or individualized care.</x:v>
      </x:c>
      <x:c r="W29" s="27" t="str">
        <x:v>Publicly accessible for verification; downstream reuse rights were not assessed.</x:v>
      </x:c>
      <x:c r="X29" s="27" t="str">
        <x:v>United Kingdom</x:v>
      </x:c>
      <x:c r="Y29" s="27" t="str">
        <x:v>portable_with_qualification</x:v>
      </x:c>
      <x:c r="Z29" s="27" t="str">
        <x:v>UK patient-information source; alcohol units, fibre terminology, and services require Canada/US qualification.</x:v>
      </x:c>
      <x:c r="AA29" s="27" t="str">
        <x:v>pending_human_review</x:v>
      </x:c>
      <x:c r="AB29" s="30" t="str"/>
      <x:c r="AC29" s="30" t="str"/>
    </x:row>
    <x:row r="30" ht="82" customHeight="1">
      <x:c r="A30" s="28" t="str">
        <x:v>SRC-026</x:v>
      </x:c>
      <x:c r="B30" s="28" t="str">
        <x:v>verified_guideline</x:v>
      </x:c>
      <x:c r="C30" s="28" t="str">
        <x:v>ESPEN guideline on Clinical Nutrition in inflammatory bowel disease.</x:v>
      </x:c>
      <x:c r="D30" s="28" t="str">
        <x:v>guideline</x:v>
      </x:c>
      <x:c r="E30" s="28" t="str">
        <x:v>Stephan C Bischoff; Palle Bager; Johanna Escher; Alastair Forbes; Xavier Hébuterne; Christian Lodberg Hvas; Francisca Joly; Stansilaw Klek; Zeljko Krznaric; Johann Ockenga; Stéphane Schneider; Raanan Shamir; Kalina Stardelova; Darija Vranesic Bender; Nicolette Wierdsma; Arved Weimann</x:v>
      </x:c>
      <x:c r="F30" s="28" t="str">
        <x:v>European Society for Clinical Nutrition and Metabolism (ESPEN)</x:v>
      </x:c>
      <x:c r="G30" s="28" t="str">
        <x:v>Clinical Nutrition</x:v>
      </x:c>
      <x:c r="H30" s="28" t="n">
        <x:v>2023</x:v>
      </x:c>
      <x:c r="I30" s="28" t="str">
        <x:v>https://www.espen.org/files/ESPEN-Guidelines/ESPEN_guideline_on_Clinical_nutrition_in_inflammatory_bowel_disease.pdf</x:v>
      </x:c>
      <x:c r="J30" s="28" t="str">
        <x:v>https://pubmed.ncbi.nlm.nih.gov/36739756/</x:v>
      </x:c>
      <x:c r="K30" s="28" t="str">
        <x:v>36739756</x:v>
      </x:c>
      <x:c r="L30" s="28" t="str"/>
      <x:c r="M30" s="28" t="str">
        <x:v>10.1016/j.clnu.2022.12.004</x:v>
      </x:c>
      <x:c r="N30" s="28" t="str">
        <x:v>official public full text verified</x:v>
      </x:c>
      <x:c r="O30" s="28" t="str">
        <x:v>https://www.espen.org/files/ESPEN-Guidelines/ESPEN_guideline_on_Clinical_nutrition_in_inflammatory_bowel_disease.pdf</x:v>
      </x:c>
      <x:c r="P30" s="28" t="str"/>
      <x:c r="Q30" s="28" t="str">
        <x:v>ibd_general; crohns_disease; ulcerative_colitis</x:v>
      </x:c>
      <x:c r="R30" s="28" t="str">
        <x:v>active_disease; remission; perioperative; stricturing_disease</x:v>
      </x:c>
      <x:c r="S30" s="28" t="str">
        <x:v>clinical guideline update</x:v>
      </x:c>
      <x:c r="T30" s="28" t="str">
        <x:v>Adults and children with inflammatory bowel disease</x:v>
      </x:c>
      <x:c r="U30" s="28" t="str">
        <x:v>The 2023 guideline updates and extends the 2017 ESPEN IBD nutrition guideline with 71 recommendations.</x:v>
      </x:c>
      <x:c r="V30" s="28" t="str">
        <x:v>Guideline recommendations include evidence extrapolation and good-practice points; individual care requires a qualified clinical team.</x:v>
      </x:c>
      <x:c r="W30" s="28" t="str">
        <x:v>Publicly accessible for verification; downstream reuse rights were not assessed.</x:v>
      </x:c>
      <x:c r="X30" s="28" t="str">
        <x:v>Europe/international</x:v>
      </x:c>
      <x:c r="Y30" s="28" t="str">
        <x:v>portable_with_qualification</x:v>
      </x:c>
      <x:c r="Z30" s="28" t="str">
        <x:v>ESPEN guideline; scientific content is broadly relevant, but perioperative pathways and products require local Canada/US review.</x:v>
      </x:c>
      <x:c r="AA30" s="28" t="str">
        <x:v>pending_human_review</x:v>
      </x:c>
      <x:c r="AB30" s="31" t="str"/>
      <x:c r="AC30" s="31" t="str"/>
    </x:row>
  </x:sheetData>
  <x:mergeCells>
    <x:mergeCell ref="A1:AC1"/>
    <x:mergeCell ref="A2:AC2"/>
  </x:mergeCells>
  <x:conditionalFormatting sqref="B5:B30">
    <x:cfRule type="containsText" dxfId="0" priority="1" operator="containsText" text="verified"/>
    <x:cfRule type="containsText" dxfId="1" priority="2" operator="containsText" text="ready"/>
    <x:cfRule type="containsText" dxfId="2" priority="3" operator="containsText" text="partial"/>
    <x:cfRule type="containsText" dxfId="3" priority="4" operator="containsText" text="needs"/>
    <x:cfRule type="containsText" dxfId="4" priority="5" operator="containsText" text="unresolved"/>
    <x:cfRule type="containsText" dxfId="5" priority="6" operator="containsText" text="superseded"/>
    <x:cfRule type="containsText" dxfId="6" priority="7" operator="containsText" text="removed"/>
  </x:conditionalFormatting>
  <x:pageMargins left="0.7" right="0.7" top="0.75" bottom="0.75" header="0.3" footer="0.3"/>
  <x:tableParts count="1">
    <x:tablePart xmlns:r="http://schemas.openxmlformats.org/officeDocument/2006/relationships" r:id="R9a0a662cb55f4b55"/>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12" hidden="0" customWidth="1"/>
    <x:col min="3" max="3" width="15" hidden="0" customWidth="1"/>
    <x:col min="4" max="4" width="38" hidden="0" customWidth="1"/>
    <x:col min="5" max="5" width="23" hidden="0" customWidth="1"/>
    <x:col min="6" max="6" width="25" hidden="0" customWidth="1"/>
    <x:col min="7" max="7" width="25" hidden="0" customWidth="1"/>
    <x:col min="8" max="8" width="50" hidden="0" customWidth="1"/>
    <x:col min="9" max="9" width="50" hidden="0" customWidth="1"/>
    <x:col min="10" max="10" width="58" hidden="0" customWidth="1"/>
    <x:col min="11" max="11" width="46" hidden="0" customWidth="1"/>
    <x:col min="12" max="12" width="46" hidden="0" customWidth="1"/>
    <x:col min="13" max="13" width="58" hidden="0" customWidth="1"/>
    <x:col min="14" max="14" width="46" hidden="0" customWidth="1"/>
    <x:col min="15" max="15" width="21" hidden="0" customWidth="1"/>
    <x:col min="16" max="16" width="22" hidden="0" customWidth="1"/>
    <x:col min="17" max="17" width="21" hidden="0" customWidth="1"/>
    <x:col min="18" max="18" width="30" hidden="0" customWidth="1"/>
    <x:col min="19" max="19" width="18" hidden="0" customWidth="1"/>
    <x:col min="20" max="20" width="42" hidden="0" customWidth="1"/>
    <x:col min="21" max="21" width="42" hidden="0" customWidth="1"/>
    <x:col min="22" max="22" width="25" hidden="0" customWidth="1"/>
    <x:col min="23" max="23" width="15" hidden="0" customWidth="1"/>
    <x:col min="24" max="24" width="25" hidden="0" customWidth="1"/>
    <x:col min="25" max="25" width="23" hidden="0" customWidth="1"/>
    <x:col min="26" max="26" width="22" hidden="0" customWidth="1"/>
    <x:col min="27" max="27" width="50" hidden="0" customWidth="1"/>
    <x:col min="28" max="28" width="38" hidden="0" customWidth="1"/>
  </x:cols>
  <x:sheetData>
    <x:row r="1" ht="31" customHeight="1">
      <x:c r="A1" s="3" t="str">
        <x:v>IBD evidence claims — remediated</x:v>
      </x:c>
      <x:c r="B1" s="3"/>
      <x:c r="C1" s="3"/>
      <x:c r="D1" s="3"/>
      <x:c r="E1" s="3"/>
      <x:c r="F1" s="3"/>
      <x:c r="G1" s="3"/>
      <x:c r="H1" s="3"/>
      <x:c r="I1" s="3"/>
      <x:c r="J1" s="3"/>
      <x:c r="K1" s="3"/>
      <x:c r="L1" s="3"/>
      <x:c r="M1" s="3"/>
      <x:c r="N1" s="3"/>
      <x:c r="O1" s="3"/>
      <x:c r="P1" s="3"/>
      <x:c r="Q1" s="3"/>
      <x:c r="R1" s="3"/>
      <x:c r="S1" s="3"/>
      <x:c r="T1" s="3"/>
      <x:c r="U1" s="3"/>
      <x:c r="V1" s="3"/>
      <x:c r="W1" s="3"/>
      <x:c r="X1" s="3"/>
      <x:c r="Y1" s="3"/>
      <x:c r="Z1" s="3"/>
      <x:c r="AA1" s="3"/>
      <x:c r="AB1" s="3"/>
    </x:row>
    <x:row r="2" ht="44" customHeight="1">
      <x:c r="A2" s="7" t="str">
        <x:v>Contains only evidence-ready claims and the one explicitly marked as still needing evidence, plus two new claims replacing superseded-source statements. No claim is approved.</x:v>
      </x:c>
      <x:c r="B2" s="7"/>
      <x:c r="C2" s="7"/>
      <x:c r="D2" s="7"/>
      <x:c r="E2" s="7"/>
      <x:c r="F2" s="7"/>
      <x:c r="G2" s="7"/>
      <x:c r="H2" s="7"/>
      <x:c r="I2" s="7"/>
      <x:c r="J2" s="7"/>
      <x:c r="K2" s="7"/>
      <x:c r="L2" s="7"/>
      <x:c r="M2" s="7"/>
      <x:c r="N2" s="7"/>
      <x:c r="O2" s="7"/>
      <x:c r="P2" s="7"/>
      <x:c r="Q2" s="7"/>
      <x:c r="R2" s="7"/>
      <x:c r="S2" s="7"/>
      <x:c r="T2" s="7"/>
      <x:c r="U2" s="7"/>
      <x:c r="V2" s="7"/>
      <x:c r="W2" s="7"/>
      <x:c r="X2" s="7"/>
      <x:c r="Y2" s="7"/>
      <x:c r="Z2" s="7"/>
      <x:c r="AA2" s="7"/>
      <x:c r="AB2" s="7"/>
    </x:row>
    <x:row r="4" ht="40" customHeight="1">
      <x:c r="A4" s="16" t="str">
        <x:v>Claim ID</x:v>
      </x:c>
      <x:c r="B4" s="17" t="str">
        <x:v>Source ID</x:v>
      </x:c>
      <x:c r="C4" s="17" t="str">
        <x:v>Replaces claim</x:v>
      </x:c>
      <x:c r="D4" s="17" t="str">
        <x:v>Source title</x:v>
      </x:c>
      <x:c r="E4" s="17" t="str">
        <x:v>Topic</x:v>
      </x:c>
      <x:c r="F4" s="17" t="str">
        <x:v>Condition applicability</x:v>
      </x:c>
      <x:c r="G4" s="17" t="str">
        <x:v>Disease context</x:v>
      </x:c>
      <x:c r="H4" s="17" t="str">
        <x:v>Original claim</x:v>
      </x:c>
      <x:c r="I4" s="17" t="str">
        <x:v>QA proposed claim</x:v>
      </x:c>
      <x:c r="J4" s="17" t="str">
        <x:v>Remediated claim</x:v>
      </x:c>
      <x:c r="K4" s="17" t="str">
        <x:v>Remediation reason</x:v>
      </x:c>
      <x:c r="L4" s="17" t="str">
        <x:v>Revision reason</x:v>
      </x:c>
      <x:c r="M4" s="17" t="str">
        <x:v>Supporting excerpt</x:v>
      </x:c>
      <x:c r="N4" s="17" t="str">
        <x:v>Exact locator</x:v>
      </x:c>
      <x:c r="O4" s="17" t="str">
        <x:v>Evidence level</x:v>
      </x:c>
      <x:c r="P4" s="17" t="str">
        <x:v>Evidence strength</x:v>
      </x:c>
      <x:c r="Q4" s="17" t="str">
        <x:v>Study type</x:v>
      </x:c>
      <x:c r="R4" s="17" t="str">
        <x:v>Population</x:v>
      </x:c>
      <x:c r="S4" s="17" t="str">
        <x:v>Sample size</x:v>
      </x:c>
      <x:c r="T4" s="17" t="str">
        <x:v>Limitations</x:v>
      </x:c>
      <x:c r="U4" s="17" t="str">
        <x:v>Applicability limitations</x:v>
      </x:c>
      <x:c r="V4" s="17" t="str">
        <x:v>Canada/US applicability</x:v>
      </x:c>
      <x:c r="W4" s="17" t="str">
        <x:v>Confidence</x:v>
      </x:c>
      <x:c r="X4" s="17" t="str">
        <x:v>Evidence status</x:v>
      </x:c>
      <x:c r="Y4" s="17" t="str">
        <x:v>Review status</x:v>
      </x:c>
      <x:c r="Z4" s="17" t="str">
        <x:v>User decision</x:v>
      </x:c>
      <x:c r="AA4" s="17" t="str">
        <x:v>User-edited claim</x:v>
      </x:c>
      <x:c r="AB4" s="18" t="str">
        <x:v>Reviewer notes</x:v>
      </x:c>
    </x:row>
    <x:row r="5" ht="92" customHeight="1">
      <x:c r="A5" s="26" t="str">
        <x:v>CLM-005</x:v>
      </x:c>
      <x:c r="B5" s="26" t="str">
        <x:v>SRC-002</x:v>
      </x:c>
      <x:c r="C5" s="26" t="str"/>
      <x:c r="D5" s="26" t="str">
        <x:v>AGA Clinical Practice Update on Diet and Nutritional Therapies in Patients With Inflammatory Bowel Disease: Expert Review.</x:v>
      </x:c>
      <x:c r="E5" s="26" t="str">
        <x:v>nutrition_status</x:v>
      </x:c>
      <x:c r="F5" s="26" t="str">
        <x:v>ibd_general</x:v>
      </x:c>
      <x:c r="G5" s="26" t="str">
        <x:v>general_or_unspecified</x:v>
      </x:c>
      <x:c r="H5" s="26" t="str">
        <x:v>Dietary restrictions, along with the clinical complications of IBD, can result in malnutrition, an underrecognized condition among this patient population.</x:v>
      </x:c>
      <x:c r="I5" s="26" t="str">
        <x:v>The cited source reports that dietary restrictions, along with the clinical complications of IBD, may contribute to malnutrition, an underrecognized condition among this patient population.</x:v>
      </x:c>
      <x:c r="J5" s="26" t="str">
        <x:v>The cited source reports that dietary restrictions, along with the clinical complications of IBD, may contribute to malnutrition, an underrecognized condition among this patient population.</x:v>
      </x:c>
      <x:c r="K5" s="26" t="str">
        <x:v>Narrow the wording to the exact passage and retain the source's limitations and uncertainty.</x:v>
      </x:c>
      <x:c r="L5" s="26" t="str">
        <x:v>Narrow the wording to the exact passage and retain the source's limitations and uncertainty.</x:v>
      </x:c>
      <x:c r="M5" s="26" t="str">
        <x:v>Dietary restrictions, along with the clinical complications of IBD, can result in malnutrition, an underrecognized condition among this patient population.</x:v>
      </x:c>
      <x:c r="N5" s="26" t="str">
        <x:v>PubMed abstract — sentence 4</x:v>
      </x:c>
      <x:c r="O5" s="26" t="str">
        <x:v>formal_guideline</x:v>
      </x:c>
      <x:c r="P5" s="26" t="str"/>
      <x:c r="Q5" s="26" t="str">
        <x:v>clinical guideline</x:v>
      </x:c>
      <x:c r="R5" s="26" t="str">
        <x:v>Children or adolescents with IBD, as specified</x:v>
      </x:c>
      <x:c r="S5" s="26" t="str">
        <x:v>Not reported in extracted metadata</x:v>
      </x:c>
      <x:c r="T5" s="26" t="str">
        <x:v>Automated metadata and passage extraction; full methods and tables require human review. Abstract-only record limits appraisal.</x:v>
      </x:c>
      <x:c r="U5" s="26" t="str">
        <x:v>Region was not clearly North American; practical transferability requires local dietetic and healthcare context.</x:v>
      </x:c>
      <x:c r="V5" s="26" t="str"/>
      <x:c r="W5" s="26" t="str">
        <x:v>moderate</x:v>
      </x:c>
      <x:c r="X5" s="26" t="str">
        <x:v>ready_for_human_review</x:v>
      </x:c>
      <x:c r="Y5" s="26" t="str">
        <x:v>pending_human_review</x:v>
      </x:c>
      <x:c r="Z5" s="29" t="str"/>
      <x:c r="AA5" s="29" t="str"/>
      <x:c r="AB5" s="29" t="str"/>
    </x:row>
    <x:row r="6" ht="92" customHeight="1">
      <x:c r="A6" s="27" t="str">
        <x:v>CLM-006</x:v>
      </x:c>
      <x:c r="B6" s="27" t="str">
        <x:v>SRC-002</x:v>
      </x:c>
      <x:c r="C6" s="27" t="str"/>
      <x:c r="D6" s="27" t="str">
        <x:v>AGA Clinical Practice Update on Diet and Nutritional Therapies in Patients With Inflammatory Bowel Disease: Expert Review.</x:v>
      </x:c>
      <x:c r="E6" s="27" t="str">
        <x:v>enteral_nutrition</x:v>
      </x:c>
      <x:c r="F6" s="27" t="str">
        <x:v>crohns_disease</x:v>
      </x:c>
      <x:c r="G6" s="27" t="str">
        <x:v>active_disease; remission</x:v>
      </x:c>
      <x:c r="H6" s="27" t="str">
        <x:v>BEST PRACTICE ADVICE 3: Exclusive enteral nutrition using liquid nutrition formulations is an effective therapy for induction of clinical remission and endoscopic response in Crohn's disease, with stronger evidence in children than adults.</x:v>
      </x:c>
      <x:c r="I6" s="27" t="str">
        <x:v>The cited source reports that exclusive enteral nutrition using liquid nutrition formulations is an effective therapy for induction of clinical remission and endoscopic response in Crohn's disease, with stronger evidence in children than adults. This is source-attributed information, not a treatment recommendation for an individual.</x:v>
      </x:c>
      <x:c r="J6" s="27" t="str">
        <x:v>The cited source reports that exclusive enteral nutrition using liquid nutrition formulations is an effective therapy for induction of clinical remission and endoscopic response in Crohn's disease, with stronger evidence in children than adults. This is source-attributed information, not a treatment recommendation for an individual.</x:v>
      </x:c>
      <x:c r="K6" s="27" t="str">
        <x:v>Attribute the statement to the source and retain disease-state, population, evidence-strength, and clinician/dietitian context so it is not personalized treatment advice.</x:v>
      </x:c>
      <x:c r="L6" s="27" t="str">
        <x:v>Attribute the statement to the source and retain disease-state, population, evidence-strength, and clinician/dietitian context so it is not personalized treatment advice.</x:v>
      </x:c>
      <x:c r="M6" s="27" t="str">
        <x:v>BEST PRACTICE ADVICE 3: Exclusive enteral nutrition using liquid nutrition formulations is an effective therapy for induction of clinical remission and endoscopic response in Crohn's disease, with stronger evidence in children than adults.</x:v>
      </x:c>
      <x:c r="N6" s="27" t="str">
        <x:v>PubMed abstract — sentence 19</x:v>
      </x:c>
      <x:c r="O6" s="27" t="str">
        <x:v>formal_guideline</x:v>
      </x:c>
      <x:c r="P6" s="27" t="str"/>
      <x:c r="Q6" s="27" t="str">
        <x:v>clinical guideline</x:v>
      </x:c>
      <x:c r="R6" s="27" t="str">
        <x:v>Children or adolescents with IBD, as specified</x:v>
      </x:c>
      <x:c r="S6" s="27" t="str">
        <x:v>Not reported in extracted metadata</x:v>
      </x:c>
      <x:c r="T6" s="27" t="str">
        <x:v>Automated metadata and passage extraction; full methods and tables require human review. Abstract-only record limits appraisal.</x:v>
      </x:c>
      <x:c r="U6" s="27" t="str">
        <x:v>Region was not clearly North American; practical transferability requires local dietetic and healthcare context.</x:v>
      </x:c>
      <x:c r="V6" s="27" t="str"/>
      <x:c r="W6" s="27" t="str">
        <x:v>moderate</x:v>
      </x:c>
      <x:c r="X6" s="27" t="str">
        <x:v>ready_for_human_review</x:v>
      </x:c>
      <x:c r="Y6" s="27" t="str">
        <x:v>pending_human_review</x:v>
      </x:c>
      <x:c r="Z6" s="30" t="str"/>
      <x:c r="AA6" s="30" t="str"/>
      <x:c r="AB6" s="30" t="str"/>
    </x:row>
    <x:row r="7" ht="92" customHeight="1">
      <x:c r="A7" s="27" t="str">
        <x:v>CLM-008</x:v>
      </x:c>
      <x:c r="B7" s="27" t="str">
        <x:v>SRC-002</x:v>
      </x:c>
      <x:c r="C7" s="27" t="str"/>
      <x:c r="D7" s="27" t="str">
        <x:v>AGA Clinical Practice Update on Diet and Nutritional Therapies in Patients With Inflammatory Bowel Disease: Expert Review.</x:v>
      </x:c>
      <x:c r="E7" s="27" t="str">
        <x:v>dietary_patterns</x:v>
      </x:c>
      <x:c r="F7" s="27" t="str">
        <x:v>ibd_general</x:v>
      </x:c>
      <x:c r="G7" s="27" t="str">
        <x:v>general_or_unspecified</x:v>
      </x:c>
      <x:c r="H7" s="27" t="str">
        <x:v>A healthy, balanced, Mediterranean diet rich in a variety of fruits and vegetables and decreased intake of ultraprocessed foods have been associated with a lower risk of developing IBD.</x:v>
      </x:c>
      <x:c r="I7" s="27" t="str">
        <x:v>The cited source reports that a healthy, balanced, Mediterranean diet rich in a variety of fruits and vegetables and decreased intake of ultraprocessed foods have been associated with a lower risk of developing IBD. This is population-level association evidence and does not establish causation or predict an individual's disease course.</x:v>
      </x:c>
      <x:c r="J7" s="27" t="str">
        <x:v>The cited source reports that a healthy, balanced, Mediterranean diet rich in a variety of fruits and vegetables and decreased intake of ultraprocessed foods have been associated with a lower risk of developing IBD. This is population-level association evidence and does not establish causation or predict an individual's disease course.</x:v>
      </x:c>
      <x:c r="K7" s="27" t="str">
        <x:v>Keep the observational or incidence framing explicit; do not convert association into causal or individual disease-course advice.</x:v>
      </x:c>
      <x:c r="L7" s="27" t="str">
        <x:v>Keep the observational or incidence framing explicit; do not convert association into causal or individual disease-course advice.</x:v>
      </x:c>
      <x:c r="M7" s="27" t="str">
        <x:v>A healthy, balanced, Mediterranean diet rich in a variety of fruits and vegetables and decreased intake of ultraprocessed foods have been associated with a lower risk of developing IBD.</x:v>
      </x:c>
      <x:c r="N7" s="27" t="str">
        <x:v>PubMed abstract — sentence 35</x:v>
      </x:c>
      <x:c r="O7" s="27" t="str">
        <x:v>formal_guideline</x:v>
      </x:c>
      <x:c r="P7" s="27" t="str"/>
      <x:c r="Q7" s="27" t="str">
        <x:v>clinical guideline</x:v>
      </x:c>
      <x:c r="R7" s="27" t="str">
        <x:v>Children or adolescents with IBD, as specified</x:v>
      </x:c>
      <x:c r="S7" s="27" t="str">
        <x:v>Not reported in extracted metadata</x:v>
      </x:c>
      <x:c r="T7" s="27" t="str">
        <x:v>Automated metadata and passage extraction; full methods and tables require human review. Abstract-only record limits appraisal.</x:v>
      </x:c>
      <x:c r="U7" s="27" t="str">
        <x:v>Region was not clearly North American; practical transferability requires local dietetic and healthcare context.</x:v>
      </x:c>
      <x:c r="V7" s="27" t="str"/>
      <x:c r="W7" s="27" t="str">
        <x:v>moderate</x:v>
      </x:c>
      <x:c r="X7" s="27" t="str">
        <x:v>ready_for_human_review</x:v>
      </x:c>
      <x:c r="Y7" s="27" t="str">
        <x:v>pending_human_review</x:v>
      </x:c>
      <x:c r="Z7" s="30" t="str"/>
      <x:c r="AA7" s="30" t="str"/>
      <x:c r="AB7" s="30" t="str"/>
    </x:row>
    <x:row r="8" ht="92" customHeight="1">
      <x:c r="A8" s="27" t="str">
        <x:v>CLM-013</x:v>
      </x:c>
      <x:c r="B8" s="27" t="str">
        <x:v>SRC-004</x:v>
      </x:c>
      <x:c r="C8" s="27" t="str"/>
      <x:c r="D8" s="27" t="str">
        <x:v>Diet, Food, and Nutritional Exposures and Inflammatory Bowel Disease or Progression of Disease: an Umbrella Review.</x:v>
      </x:c>
      <x:c r="E8" s="27" t="str">
        <x:v>ultra_processed</x:v>
      </x:c>
      <x:c r="F8" s="27" t="str">
        <x:v>ibd_general</x:v>
      </x:c>
      <x:c r="G8" s="27" t="str">
        <x:v>general_or_unspecified</x:v>
      </x:c>
      <x:c r="H8" s="27" t="str">
        <x:v>Dietary factors associated with an increased incidence and/or progression of IBD include a high intake of red and processed meat, other processed foods, and refined sugars, together with a low intake of vegetables, fruits, and fiber.</x:v>
      </x:c>
      <x:c r="I8" s="27" t="str">
        <x:v>The cited source reports that dietary factors associated with an increased incidence and/or progression of IBD include a high intake of red and processed meat, other processed foods, and refined sugars, together with a low intake of vegetables, fruits, and fiber. This is population-level association evidence and does not establish causation or predict an individual's disease course.</x:v>
      </x:c>
      <x:c r="J8" s="27" t="str">
        <x:v>The cited source reports that dietary factors associated with an increased incidence and/or progression of IBD include a high intake of red and processed meat, other processed foods, and refined sugars, together with a low intake of vegetables, fruits, and fiber. This is population-level association evidence and does not establish causation or predict an individual's disease course.</x:v>
      </x:c>
      <x:c r="K8" s="27" t="str">
        <x:v>Keep the observational or incidence framing explicit; do not convert association into causal or individual disease-course advice.</x:v>
      </x:c>
      <x:c r="L8" s="27" t="str">
        <x:v>Keep the observational or incidence framing explicit; do not convert association into causal or individual disease-course advice.</x:v>
      </x:c>
      <x:c r="M8" s="27" t="str">
        <x:v>Dietary factors associated with an increased incidence and/or progression of IBD include a high intake of red and processed meat, other processed foods, and refined sugars, together with a low intake of vegetables, fruits, and fiber.</x:v>
      </x:c>
      <x:c r="N8" s="27" t="str">
        <x:v>PubMed abstract — sentence 4</x:v>
      </x:c>
      <x:c r="O8" s="27" t="str">
        <x:v>systematic_review</x:v>
      </x:c>
      <x:c r="P8" s="27" t="str"/>
      <x:c r="Q8" s="27" t="str">
        <x:v>systematic review</x:v>
      </x:c>
      <x:c r="R8" s="27" t="str">
        <x:v>People with IBD or source-defined population; details require full-text review</x:v>
      </x:c>
      <x:c r="S8" s="27" t="str">
        <x:v>Not reported in extracted metadata</x:v>
      </x:c>
      <x:c r="T8" s="27" t="str">
        <x:v>Automated metadata and passage extraction; full methods and tables require human review. Public full text available for deeper review.</x:v>
      </x:c>
      <x:c r="U8" s="27" t="str">
        <x:v>Region was not clearly North American; practical transferability requires local dietetic and healthcare context.</x:v>
      </x:c>
      <x:c r="V8" s="27" t="str"/>
      <x:c r="W8" s="27" t="str">
        <x:v>high</x:v>
      </x:c>
      <x:c r="X8" s="27" t="str">
        <x:v>ready_for_human_review</x:v>
      </x:c>
      <x:c r="Y8" s="27" t="str">
        <x:v>pending_human_review</x:v>
      </x:c>
      <x:c r="Z8" s="30" t="str"/>
      <x:c r="AA8" s="30" t="str"/>
      <x:c r="AB8" s="30" t="str"/>
    </x:row>
    <x:row r="9" ht="92" customHeight="1">
      <x:c r="A9" s="27" t="str">
        <x:v>CLM-014</x:v>
      </x:c>
      <x:c r="B9" s="27" t="str">
        <x:v>SRC-004</x:v>
      </x:c>
      <x:c r="C9" s="27" t="str"/>
      <x:c r="D9" s="27" t="str">
        <x:v>Diet, Food, and Nutritional Exposures and Inflammatory Bowel Disease or Progression of Disease: an Umbrella Review.</x:v>
      </x:c>
      <x:c r="E9" s="27" t="str">
        <x:v>fibre</x:v>
      </x:c>
      <x:c r="F9" s="27" t="str">
        <x:v>ulcerative_colitis; crohns_disease; ibd_general</x:v>
      </x:c>
      <x:c r="G9" s="27" t="str">
        <x:v>general_or_unspecified</x:v>
      </x:c>
      <x:c r="H9" s="27" t="str">
        <x:v>Some differences seem to exist between UC and CD and their risk factors, with increased intake of dietary fiber being inversely associated with CD incidence but not clearly associated with UC.</x:v>
      </x:c>
      <x:c r="I9" s="27" t="str">
        <x:v>The cited source reports that some differences seem to exist between UC and CD and their risk factors, with increased intake of dietary fiber being inversely associated with CD incidence but not clearly associated with UC. This is population-level association evidence and does not establish causation or predict an individual's disease course.</x:v>
      </x:c>
      <x:c r="J9" s="27" t="str">
        <x:v>The cited source reports that some differences seem to exist between UC and CD and their risk factors, with increased intake of dietary fiber being inversely associated with CD incidence but not clearly associated with UC. This is population-level association evidence and does not establish causation or predict an individual's disease course.</x:v>
      </x:c>
      <x:c r="K9" s="27" t="str">
        <x:v>Keep the observational or incidence framing explicit; do not convert association into causal or individual disease-course advice.</x:v>
      </x:c>
      <x:c r="L9" s="27" t="str">
        <x:v>Keep the observational or incidence framing explicit; do not convert association into causal or individual disease-course advice.</x:v>
      </x:c>
      <x:c r="M9" s="27" t="str">
        <x:v>Some differences seem to exist between UC and CD and their risk factors, with increased intake of dietary fiber being inversely associated with CD incidence but not clearly associated with UC.</x:v>
      </x:c>
      <x:c r="N9" s="27" t="str">
        <x:v>PubMed abstract — sentence 6</x:v>
      </x:c>
      <x:c r="O9" s="27" t="str">
        <x:v>systematic_review</x:v>
      </x:c>
      <x:c r="P9" s="27" t="str"/>
      <x:c r="Q9" s="27" t="str">
        <x:v>systematic review</x:v>
      </x:c>
      <x:c r="R9" s="27" t="str">
        <x:v>People with IBD or source-defined population; details require full-text review</x:v>
      </x:c>
      <x:c r="S9" s="27" t="str">
        <x:v>Not reported in extracted metadata</x:v>
      </x:c>
      <x:c r="T9" s="27" t="str">
        <x:v>Automated metadata and passage extraction; full methods and tables require human review. Public full text available for deeper review.</x:v>
      </x:c>
      <x:c r="U9" s="27" t="str">
        <x:v>Region was not clearly North American; practical transferability requires local dietetic and healthcare context.</x:v>
      </x:c>
      <x:c r="V9" s="27" t="str"/>
      <x:c r="W9" s="27" t="str">
        <x:v>high</x:v>
      </x:c>
      <x:c r="X9" s="27" t="str">
        <x:v>ready_for_human_review</x:v>
      </x:c>
      <x:c r="Y9" s="27" t="str">
        <x:v>pending_human_review</x:v>
      </x:c>
      <x:c r="Z9" s="30" t="str"/>
      <x:c r="AA9" s="30" t="str"/>
      <x:c r="AB9" s="30" t="str"/>
    </x:row>
    <x:row r="10" ht="92" customHeight="1">
      <x:c r="A10" s="27" t="str">
        <x:v>CLM-015</x:v>
      </x:c>
      <x:c r="B10" s="27" t="str">
        <x:v>SRC-004</x:v>
      </x:c>
      <x:c r="C10" s="27" t="str"/>
      <x:c r="D10" s="27" t="str">
        <x:v>Diet, Food, and Nutritional Exposures and Inflammatory Bowel Disease or Progression of Disease: an Umbrella Review.</x:v>
      </x:c>
      <x:c r="E10" s="27" t="str">
        <x:v>dietary_patterns</x:v>
      </x:c>
      <x:c r="F10" s="27" t="str">
        <x:v>ibd_general</x:v>
      </x:c>
      <x:c r="G10" s="27" t="str">
        <x:v>general_or_unspecified</x:v>
      </x:c>
      <x:c r="H10" s="27" t="str">
        <x:v>Mediterranean diets, vegetarian diets, and a diet low in grains, sugars, and lactose (specific carbohydrate diet) are also associated with lower incidence and/or progression of IBD.</x:v>
      </x:c>
      <x:c r="I10" s="27" t="str">
        <x:v>The cited source reports that mediterranean diets, vegetarian diets, and a diet low in grains, sugars, and lactose (specific carbohydrate diet) are also associated with lower incidence and/or progression of IBD. This is population-level association evidence and does not establish causation or predict an individual's disease course.</x:v>
      </x:c>
      <x:c r="J10" s="27" t="str">
        <x:v>The cited source reports that mediterranean diets, vegetarian diets, and a diet low in grains, sugars, and lactose (specific carbohydrate diet) are also associated with lower incidence and/or progression of IBD. This is population-level association evidence and does not establish causation or predict an individual's disease course.</x:v>
      </x:c>
      <x:c r="K10" s="27" t="str">
        <x:v>Keep the observational or incidence framing explicit; do not convert association into causal or individual disease-course advice.</x:v>
      </x:c>
      <x:c r="L10" s="27" t="str">
        <x:v>Keep the observational or incidence framing explicit; do not convert association into causal or individual disease-course advice.</x:v>
      </x:c>
      <x:c r="M10" s="27" t="str">
        <x:v>Mediterranean diets, vegetarian diets, and a diet low in grains, sugars, and lactose (specific carbohydrate diet) are also associated with lower incidence and/or progression of IBD.</x:v>
      </x:c>
      <x:c r="N10" s="27" t="str">
        <x:v>PubMed abstract — sentence 10</x:v>
      </x:c>
      <x:c r="O10" s="27" t="str">
        <x:v>systematic_review</x:v>
      </x:c>
      <x:c r="P10" s="27" t="str"/>
      <x:c r="Q10" s="27" t="str">
        <x:v>systematic review</x:v>
      </x:c>
      <x:c r="R10" s="27" t="str">
        <x:v>People with IBD or source-defined population; details require full-text review</x:v>
      </x:c>
      <x:c r="S10" s="27" t="str">
        <x:v>Not reported in extracted metadata</x:v>
      </x:c>
      <x:c r="T10" s="27" t="str">
        <x:v>Automated metadata and passage extraction; full methods and tables require human review. Public full text available for deeper review.</x:v>
      </x:c>
      <x:c r="U10" s="27" t="str">
        <x:v>Region was not clearly North American; practical transferability requires local dietetic and healthcare context.</x:v>
      </x:c>
      <x:c r="V10" s="27" t="str"/>
      <x:c r="W10" s="27" t="str">
        <x:v>high</x:v>
      </x:c>
      <x:c r="X10" s="27" t="str">
        <x:v>ready_for_human_review</x:v>
      </x:c>
      <x:c r="Y10" s="27" t="str">
        <x:v>pending_human_review</x:v>
      </x:c>
      <x:c r="Z10" s="30" t="str"/>
      <x:c r="AA10" s="30" t="str"/>
      <x:c r="AB10" s="30" t="str"/>
    </x:row>
    <x:row r="11" ht="92" customHeight="1">
      <x:c r="A11" s="27" t="str">
        <x:v>CLM-017</x:v>
      </x:c>
      <x:c r="B11" s="27" t="str">
        <x:v>SRC-005</x:v>
      </x:c>
      <x:c r="C11" s="27" t="str"/>
      <x:c r="D11" s="27" t="str">
        <x:v>Dietary Interventions for the Treatment of Inflammatory Bowel Diseases: An Updated Systematic Review and Meta-analysis.</x:v>
      </x:c>
      <x:c r="E11" s="27" t="str">
        <x:v>symptoms_vs_inflammation</x:v>
      </x:c>
      <x:c r="F11" s="27" t="str">
        <x:v>crohns_disease</x:v>
      </x:c>
      <x:c r="G11" s="27" t="str">
        <x:v>active_disease; remission</x:v>
      </x:c>
      <x:c r="H11" s="27" t="str">
        <x:v>For induction of remission in Crohn's disease (CD), low refined carbohydrate diet and symptoms-guided diet outperformed controls, but studies had serious imprecision and very low certainty of evidence.</x:v>
      </x:c>
      <x:c r="I11" s="27" t="str">
        <x:v>The cited source reports that for induction of remission in Crohn's disease (CD), low refined carbohydrate diet and symptoms-guided diet outperformed controls, but studies had serious imprecision and very low certainty of evidence. This is source-attributed information, not a treatment recommendation for an individual.</x:v>
      </x:c>
      <x:c r="J11" s="27" t="str">
        <x:v>The cited source reports that for induction of remission in Crohn's disease (CD), low refined carbohydrate diet and symptoms-guided diet outperformed controls, but studies had serious imprecision and very low certainty of evidence. This is source-attributed information, not a treatment recommendation for an individual.</x:v>
      </x:c>
      <x:c r="K11" s="27" t="str">
        <x:v>Narrow the wording to the exact passage and retain the source's limitations and uncertainty.</x:v>
      </x:c>
      <x:c r="L11" s="27" t="str">
        <x:v>Narrow the wording to the exact passage and retain the source's limitations and uncertainty.</x:v>
      </x:c>
      <x:c r="M11" s="27" t="str">
        <x:v>For induction of remission in Crohn's disease (CD), low refined carbohydrate diet and symptoms-guided diet outperformed controls, but studies had serious imprecision and very low certainty of evidence.</x:v>
      </x:c>
      <x:c r="N11" s="27" t="str">
        <x:v>PubMed abstract — sentence 6</x:v>
      </x:c>
      <x:c r="O11" s="27" t="str">
        <x:v>meta_analysis</x:v>
      </x:c>
      <x:c r="P11" s="27" t="str"/>
      <x:c r="Q11" s="27" t="str">
        <x:v>meta-analysis</x:v>
      </x:c>
      <x:c r="R11" s="27" t="str">
        <x:v>People with IBD or source-defined population; details require full-text review</x:v>
      </x:c>
      <x:c r="S11" s="27" t="str">
        <x:v>Not reported in extracted metadata</x:v>
      </x:c>
      <x:c r="T11" s="27" t="str">
        <x:v>Automated metadata and passage extraction; full methods and tables require human review. Abstract-only record limits appraisal.</x:v>
      </x:c>
      <x:c r="U11" s="27" t="str">
        <x:v>Region was not clearly North American; practical transferability requires local dietetic and healthcare context.</x:v>
      </x:c>
      <x:c r="V11" s="27" t="str"/>
      <x:c r="W11" s="27" t="str">
        <x:v>moderate</x:v>
      </x:c>
      <x:c r="X11" s="27" t="str">
        <x:v>ready_for_human_review</x:v>
      </x:c>
      <x:c r="Y11" s="27" t="str">
        <x:v>pending_human_review</x:v>
      </x:c>
      <x:c r="Z11" s="30" t="str"/>
      <x:c r="AA11" s="30" t="str"/>
      <x:c r="AB11" s="30" t="str"/>
    </x:row>
    <x:row r="12" ht="92" customHeight="1">
      <x:c r="A12" s="27" t="str">
        <x:v>CLM-018</x:v>
      </x:c>
      <x:c r="B12" s="27" t="str">
        <x:v>SRC-005</x:v>
      </x:c>
      <x:c r="C12" s="27" t="str"/>
      <x:c r="D12" s="27" t="str">
        <x:v>Dietary Interventions for the Treatment of Inflammatory Bowel Diseases: An Updated Systematic Review and Meta-analysis.</x:v>
      </x:c>
      <x:c r="E12" s="27" t="str">
        <x:v>dietary_patterns</x:v>
      </x:c>
      <x:c r="F12" s="27" t="str">
        <x:v>ulcerative_colitis; crohns_disease; ibd_general</x:v>
      </x:c>
      <x:c r="G12" s="27" t="str">
        <x:v>general_or_unspecified</x:v>
      </x:c>
      <x:c r="H12" s="27" t="str">
        <x:v>The Mediterranean diet was similar to the Specific Carbohydrate Diet (low certainty of evidence), and partial enteral nutrition (PEN) was similar to exclusive enteral nutrition (very low certainty of evidence).</x:v>
      </x:c>
      <x:c r="I12" s="27" t="str">
        <x:v>The cited source reports that the Mediterranean diet was similar to the Specific Carbohydrate Diet (low certainty of evidence), and partial enteral nutrition (PEN) was similar to exclusive enteral nutrition (very low certainty of evidence).</x:v>
      </x:c>
      <x:c r="J12" s="27" t="str">
        <x:v>The cited source reports that the Mediterranean diet was similar to the Specific Carbohydrate Diet (low certainty of evidence), and partial enteral nutrition (PEN) was similar to exclusive enteral nutrition (very low certainty of evidence).</x:v>
      </x:c>
      <x:c r="K12" s="27" t="str">
        <x:v>Narrow the wording to the exact passage and retain the source's limitations and uncertainty.</x:v>
      </x:c>
      <x:c r="L12" s="27" t="str">
        <x:v>Narrow the wording to the exact passage and retain the source's limitations and uncertainty.</x:v>
      </x:c>
      <x:c r="M12" s="27" t="str">
        <x:v>The Mediterranean diet was similar to the Specific Carbohydrate Diet (low certainty of evidence), and partial enteral nutrition (PEN) was similar to exclusive enteral nutrition (very low certainty of evidence).</x:v>
      </x:c>
      <x:c r="N12" s="27" t="str">
        <x:v>PubMed abstract — sentence 7</x:v>
      </x:c>
      <x:c r="O12" s="27" t="str">
        <x:v>meta_analysis</x:v>
      </x:c>
      <x:c r="P12" s="27" t="str"/>
      <x:c r="Q12" s="27" t="str">
        <x:v>meta-analysis</x:v>
      </x:c>
      <x:c r="R12" s="27" t="str">
        <x:v>People with IBD or source-defined population; details require full-text review</x:v>
      </x:c>
      <x:c r="S12" s="27" t="str">
        <x:v>Not reported in extracted metadata</x:v>
      </x:c>
      <x:c r="T12" s="27" t="str">
        <x:v>Automated metadata and passage extraction; full methods and tables require human review. Abstract-only record limits appraisal.</x:v>
      </x:c>
      <x:c r="U12" s="27" t="str">
        <x:v>Region was not clearly North American; practical transferability requires local dietetic and healthcare context.</x:v>
      </x:c>
      <x:c r="V12" s="27" t="str"/>
      <x:c r="W12" s="27" t="str">
        <x:v>moderate</x:v>
      </x:c>
      <x:c r="X12" s="27" t="str">
        <x:v>ready_for_human_review</x:v>
      </x:c>
      <x:c r="Y12" s="27" t="str">
        <x:v>pending_human_review</x:v>
      </x:c>
      <x:c r="Z12" s="30" t="str"/>
      <x:c r="AA12" s="30" t="str"/>
      <x:c r="AB12" s="30" t="str"/>
    </x:row>
    <x:row r="13" ht="92" customHeight="1">
      <x:c r="A13" s="27" t="str">
        <x:v>CLM-019</x:v>
      </x:c>
      <x:c r="B13" s="27" t="str">
        <x:v>SRC-005</x:v>
      </x:c>
      <x:c r="C13" s="27" t="str"/>
      <x:c r="D13" s="27" t="str">
        <x:v>Dietary Interventions for the Treatment of Inflammatory Bowel Diseases: An Updated Systematic Review and Meta-analysis.</x:v>
      </x:c>
      <x:c r="E13" s="27" t="str">
        <x:v>red_processed_meat</x:v>
      </x:c>
      <x:c r="F13" s="27" t="str">
        <x:v>ulcerative_colitis; crohns_disease; ibd_general</x:v>
      </x:c>
      <x:c r="G13" s="27" t="str">
        <x:v>general_or_unspecified</x:v>
      </x:c>
      <x:c r="H13" s="27" t="str">
        <x:v>PEN reduced risk of relapse (very low certainty of evidence), whereas reduction of red meat or refined carbohydrates did not (low certainty of evidence).</x:v>
      </x:c>
      <x:c r="I13" s="27" t="str">
        <x:v>The cited source reports that pEN reduced risk of relapse (very low certainty of evidence), whereas reduction of red meat or refined carbohydrates did not (low certainty of evidence). This is population-level association evidence and does not establish causation or predict an individual's disease course.</x:v>
      </x:c>
      <x:c r="J13" s="27" t="str">
        <x:v>The cited source reports that pEN reduced risk of relapse (very low certainty of evidence), whereas reduction of red meat or refined carbohydrates did not (low certainty of evidence). This is population-level association evidence and does not establish causation or predict an individual's disease course.</x:v>
      </x:c>
      <x:c r="K13" s="27" t="str">
        <x:v>Keep the observational or incidence framing explicit; do not convert association into causal or individual disease-course advice.</x:v>
      </x:c>
      <x:c r="L13" s="27" t="str">
        <x:v>Keep the observational or incidence framing explicit; do not convert association into causal or individual disease-course advice.</x:v>
      </x:c>
      <x:c r="M13" s="27" t="str">
        <x:v>PEN reduced risk of relapse (very low certainty of evidence), whereas reduction of red meat or refined carbohydrates did not (low certainty of evidence).</x:v>
      </x:c>
      <x:c r="N13" s="27" t="str">
        <x:v>PubMed abstract — sentence 8</x:v>
      </x:c>
      <x:c r="O13" s="27" t="str">
        <x:v>meta_analysis</x:v>
      </x:c>
      <x:c r="P13" s="27" t="str"/>
      <x:c r="Q13" s="27" t="str">
        <x:v>meta-analysis</x:v>
      </x:c>
      <x:c r="R13" s="27" t="str">
        <x:v>People with IBD or source-defined population; details require full-text review</x:v>
      </x:c>
      <x:c r="S13" s="27" t="str">
        <x:v>Not reported in extracted metadata</x:v>
      </x:c>
      <x:c r="T13" s="27" t="str">
        <x:v>Automated metadata and passage extraction; full methods and tables require human review. Abstract-only record limits appraisal.</x:v>
      </x:c>
      <x:c r="U13" s="27" t="str">
        <x:v>Region was not clearly North American; practical transferability requires local dietetic and healthcare context.</x:v>
      </x:c>
      <x:c r="V13" s="27" t="str"/>
      <x:c r="W13" s="27" t="str">
        <x:v>moderate</x:v>
      </x:c>
      <x:c r="X13" s="27" t="str">
        <x:v>ready_for_human_review</x:v>
      </x:c>
      <x:c r="Y13" s="27" t="str">
        <x:v>pending_human_review</x:v>
      </x:c>
      <x:c r="Z13" s="30" t="str"/>
      <x:c r="AA13" s="30" t="str"/>
      <x:c r="AB13" s="30" t="str"/>
    </x:row>
    <x:row r="14" ht="92" customHeight="1">
      <x:c r="A14" s="27" t="str">
        <x:v>CLM-021</x:v>
      </x:c>
      <x:c r="B14" s="27" t="str">
        <x:v>SRC-006</x:v>
      </x:c>
      <x:c r="C14" s="27" t="str"/>
      <x:c r="D14" s="27" t="str">
        <x:v>Dietary fat is associated with increased inflammatory bowel disease onset risk: a systematic review and dose-response meta-analysis.</x:v>
      </x:c>
      <x:c r="E14" s="27" t="str">
        <x:v>core_condition_knowledge</x:v>
      </x:c>
      <x:c r="F14" s="27" t="str">
        <x:v>ibd_general</x:v>
      </x:c>
      <x:c r="G14" s="27" t="str">
        <x:v>general_or_unspecified</x:v>
      </x:c>
      <x:c r="H14" s="27" t="str">
        <x:v>RESULTS: High fat intake (RR = 1.24, 95% CI = 1.03-1.49) was modestly associated with increased IBD onset risk.</x:v>
      </x:c>
      <x:c r="I14" s="27" t="str">
        <x:v>The cited source reports that high fat intake (RR = 1.24, 95% CI = 1.03-1.49) was modestly associated with increased IBD onset risk. This is population-level association evidence and does not establish causation or predict an individual's disease course.</x:v>
      </x:c>
      <x:c r="J14" s="27" t="str">
        <x:v>The cited source reports that high fat intake (RR = 1.24, 95% CI = 1.03-1.49) was modestly associated with increased IBD onset risk. This is population-level association evidence and does not establish causation or predict an individual's disease course.</x:v>
      </x:c>
      <x:c r="K14" s="27" t="str">
        <x:v>Keep the observational or incidence framing explicit; do not convert association into causal or individual disease-course advice.</x:v>
      </x:c>
      <x:c r="L14" s="27" t="str">
        <x:v>Keep the observational or incidence framing explicit; do not convert association into causal or individual disease-course advice.</x:v>
      </x:c>
      <x:c r="M14" s="27" t="str">
        <x:v>RESULTS: High fat intake (RR = 1.24, 95% CI = 1.03-1.49) was modestly associated with increased IBD onset risk.</x:v>
      </x:c>
      <x:c r="N14" s="27" t="str">
        <x:v>PubMed abstract — sentence 5</x:v>
      </x:c>
      <x:c r="O14" s="27" t="str">
        <x:v>meta_analysis</x:v>
      </x:c>
      <x:c r="P14" s="27" t="str"/>
      <x:c r="Q14" s="27" t="str">
        <x:v>meta-analysis</x:v>
      </x:c>
      <x:c r="R14" s="27" t="str">
        <x:v>People with IBD or source-defined population; details require full-text review</x:v>
      </x:c>
      <x:c r="S14" s="27" t="str">
        <x:v>Not reported in extracted metadata</x:v>
      </x:c>
      <x:c r="T14" s="27" t="str">
        <x:v>Automated metadata and passage extraction; full methods and tables require human review. Public full text available for deeper review.</x:v>
      </x:c>
      <x:c r="U14" s="27" t="str">
        <x:v>Region was not clearly North American; practical transferability requires local dietetic and healthcare context.</x:v>
      </x:c>
      <x:c r="V14" s="27" t="str"/>
      <x:c r="W14" s="27" t="str">
        <x:v>high</x:v>
      </x:c>
      <x:c r="X14" s="27" t="str">
        <x:v>ready_for_human_review</x:v>
      </x:c>
      <x:c r="Y14" s="27" t="str">
        <x:v>pending_human_review</x:v>
      </x:c>
      <x:c r="Z14" s="30" t="str"/>
      <x:c r="AA14" s="30" t="str"/>
      <x:c r="AB14" s="30" t="str"/>
    </x:row>
    <x:row r="15" ht="92" customHeight="1">
      <x:c r="A15" s="27" t="str">
        <x:v>CLM-022</x:v>
      </x:c>
      <x:c r="B15" s="27" t="str">
        <x:v>SRC-006</x:v>
      </x:c>
      <x:c r="C15" s="27" t="str"/>
      <x:c r="D15" s="27" t="str">
        <x:v>Dietary fat is associated with increased inflammatory bowel disease onset risk: a systematic review and dose-response meta-analysis.</x:v>
      </x:c>
      <x:c r="E15" s="27" t="str">
        <x:v>core_condition_knowledge</x:v>
      </x:c>
      <x:c r="F15" s="27" t="str">
        <x:v>ibd_general</x:v>
      </x:c>
      <x:c r="G15" s="27" t="str">
        <x:v>general_or_unspecified</x:v>
      </x:c>
      <x:c r="H15" s="27" t="str">
        <x:v>Subgroup analyses and meta-regression indicated that Asian (RR = 2.15, 95% CI = 1.46-3.16, Psubgroup &lt; 0.01), high-male-proportion (RR = 1.91, 95% CI = 1.32-2.78, Psubgroup &lt; 0.01) and young (RR = 2.67, 95% CI = 1.80-3.96, Psubgroup &lt; 0.01) populations were more susceptible to fat-associated IBD, and positive dose‒response associations were also confirmed in these populations.</x:v>
      </x:c>
      <x:c r="I15" s="27" t="str">
        <x:v>The cited source reports that subgroup analyses and meta-regression indicated that Asian (RR = 2.15, 95% CI = 1.46-3.16, Psubgroup &lt; 0.01), high-male-proportion (RR = 1.91, 95% CI = 1.32-2.78, Psubgroup &lt; 0.01) and young (RR = 2.67, 95% CI = 1.80-3.96, Psubgroup &lt; 0.01) populations were more susceptible to fat-associated IBD, and positive dose‒response associations were also confirmed in these populations. This is population-level association evidence and does not establish causation or predict an individual's disease course.</x:v>
      </x:c>
      <x:c r="J15" s="27" t="str">
        <x:v>The cited source reports that subgroup analyses and meta-regression indicated that Asian (RR = 2.15, 95% CI = 1.46-3.16, Psubgroup &lt; 0.01), high-male-proportion (RR = 1.91, 95% CI = 1.32-2.78, Psubgroup &lt; 0.01) and young (RR = 2.67, 95% CI = 1.80-3.96, Psubgroup &lt; 0.01) populations were more susceptible to fat-associated IBD, and positive dose‒response associations were also confirmed in these populations. This is population-level association evidence and does not establish causation or predict an individual's disease course.</x:v>
      </x:c>
      <x:c r="K15" s="27" t="str">
        <x:v>Keep the observational or incidence framing explicit; do not convert association into causal or individual disease-course advice.</x:v>
      </x:c>
      <x:c r="L15" s="27" t="str">
        <x:v>Keep the observational or incidence framing explicit; do not convert association into causal or individual disease-course advice.</x:v>
      </x:c>
      <x:c r="M15" s="27" t="str">
        <x:v>Subgroup analyses and meta-regression indicated that Asian (RR = 2.15, 95% CI = 1.46-3.16, Psubgroup &lt; 0.01), high-male-proportion (RR = 1.91, 95% CI = 1.32-2.78, Psubgroup &lt; 0.01) and young (RR = 2.67, 95% CI = 1.80-3.96, Psubgroup &lt; 0.01) populations were more susceptible to fat-associated IBD, and positive dose‒response associations were also confirmed in these populations.</x:v>
      </x:c>
      <x:c r="N15" s="27" t="str">
        <x:v>PubMed abstract — sentence 6</x:v>
      </x:c>
      <x:c r="O15" s="27" t="str">
        <x:v>meta_analysis</x:v>
      </x:c>
      <x:c r="P15" s="27" t="str"/>
      <x:c r="Q15" s="27" t="str">
        <x:v>meta-analysis</x:v>
      </x:c>
      <x:c r="R15" s="27" t="str">
        <x:v>People with IBD or source-defined population; details require full-text review</x:v>
      </x:c>
      <x:c r="S15" s="27" t="str">
        <x:v>Not reported in extracted metadata</x:v>
      </x:c>
      <x:c r="T15" s="27" t="str">
        <x:v>Automated metadata and passage extraction; full methods and tables require human review. Public full text available for deeper review.</x:v>
      </x:c>
      <x:c r="U15" s="27" t="str">
        <x:v>Region was not clearly North American; practical transferability requires local dietetic and healthcare context.</x:v>
      </x:c>
      <x:c r="V15" s="27" t="str"/>
      <x:c r="W15" s="27" t="str">
        <x:v>high</x:v>
      </x:c>
      <x:c r="X15" s="27" t="str">
        <x:v>ready_for_human_review</x:v>
      </x:c>
      <x:c r="Y15" s="27" t="str">
        <x:v>pending_human_review</x:v>
      </x:c>
      <x:c r="Z15" s="30" t="str"/>
      <x:c r="AA15" s="30" t="str"/>
      <x:c r="AB15" s="30" t="str"/>
    </x:row>
    <x:row r="16" ht="92" customHeight="1">
      <x:c r="A16" s="27" t="str">
        <x:v>CLM-023</x:v>
      </x:c>
      <x:c r="B16" s="27" t="str">
        <x:v>SRC-006</x:v>
      </x:c>
      <x:c r="C16" s="27" t="str"/>
      <x:c r="D16" s="27" t="str">
        <x:v>Dietary fat is associated with increased inflammatory bowel disease onset risk: a systematic review and dose-response meta-analysis.</x:v>
      </x:c>
      <x:c r="E16" s="27" t="str">
        <x:v>core_condition_knowledge</x:v>
      </x:c>
      <x:c r="F16" s="27" t="str">
        <x:v>ibd_general</x:v>
      </x:c>
      <x:c r="G16" s="27" t="str">
        <x:v>general_or_unspecified</x:v>
      </x:c>
      <x:c r="H16" s="27" t="str">
        <x:v>Both the highest-versus-lowest and dose‒response analyses revealed that polyunsaturated fatty acids (PUFAs) (RR = 1.34, 95% CI = 1.10-1.63; Pnonlinearity &lt; 0.05; per 10 g/day RR = 1.39) and cholesterol (RR = 1.52, 95% CI = 1.09-2.12; Pnonlinearity = 0.03; per 0.1 g/day RR = 1.17) were associated with increased IBD onset risk, whereas long-chain n-3 PUFA (LCN-n-3, RR = 0.74, 95% CI = 0.58-0.94) intake and a high n3/n6-PUFA ratio (RR = 0.76, 95% CI = 0.59-0.98) might be associated with decreased IBD risk.</x:v>
      </x:c>
      <x:c r="I16" s="27" t="str">
        <x:v>The cited source reports that both the highest-versus-lowest and dose‒response analyses revealed that polyunsaturated fatty acids (PUFAs) (RR = 1.34, 95% CI = 1.10-1.63; Pnonlinearity &lt; 0.05; per 10 g/day RR = 1.39) and cholesterol (RR = 1.52, 95% CI = 1.09-2.12; Pnonlinearity = 0.03; per 0.1 g/day RR = 1.17) were associated with increased IBD onset risk, whereas long-chain n-3 PUFA (LCN-n-3, RR = 0.74, 95% CI = 0.58-0.94) intake and a high n3/n6-PUFA ratio (RR = 0.76, 95% CI = 0.59-0.98) might be associated with decreased IBD risk. This is population-level association evidence and does not establish causation or predict an individual's disease course.</x:v>
      </x:c>
      <x:c r="J16" s="27" t="str">
        <x:v>The cited source reports that both the highest-versus-lowest and dose‒response analyses revealed that polyunsaturated fatty acids (PUFAs) (RR = 1.34, 95% CI = 1.10-1.63; Pnonlinearity &lt; 0.05; per 10 g/day RR = 1.39) and cholesterol (RR = 1.52, 95% CI = 1.09-2.12; Pnonlinearity = 0.03; per 0.1 g/day RR = 1.17) were associated with increased IBD onset risk, whereas long-chain n-3 PUFA (LCN-n-3, RR = 0.74, 95% CI = 0.58-0.94) intake and a high n3/n6-PUFA ratio (RR = 0.76, 95% CI = 0.59-0.98) might be associated with decreased IBD risk. This is population-level association evidence and does not establish causation or predict an individual's disease course.</x:v>
      </x:c>
      <x:c r="K16" s="27" t="str">
        <x:v>Keep the observational or incidence framing explicit; do not convert association into causal or individual disease-course advice.</x:v>
      </x:c>
      <x:c r="L16" s="27" t="str">
        <x:v>Keep the observational or incidence framing explicit; do not convert association into causal or individual disease-course advice.</x:v>
      </x:c>
      <x:c r="M16" s="27" t="str">
        <x:v>Both the highest-versus-lowest and dose‒response analyses revealed that polyunsaturated fatty acids (PUFAs) (RR = 1.34, 95% CI = 1.10-1.63; Pnonlinearity &lt; 0.05; per 10 g/day RR = 1.39) and cholesterol (RR = 1.52, 95% CI = 1.09-2.12; Pnonlinearity = 0.03; per 0.1 g/day RR = 1.17) were associated with increased IBD onset risk, whereas long-chain n-3 PUFA (LCN-n-3, RR = 0.74, 95% CI = 0.58-0.94) intake and a high n3/n6-PUFA ratio (RR = 0.76, 95% CI = 0.59-0.98) might be associated with decreased IBD risk.</x:v>
      </x:c>
      <x:c r="N16" s="27" t="str">
        <x:v>PubMed abstract — sentence 7</x:v>
      </x:c>
      <x:c r="O16" s="27" t="str">
        <x:v>meta_analysis</x:v>
      </x:c>
      <x:c r="P16" s="27" t="str"/>
      <x:c r="Q16" s="27" t="str">
        <x:v>meta-analysis</x:v>
      </x:c>
      <x:c r="R16" s="27" t="str">
        <x:v>People with IBD or source-defined population; details require full-text review</x:v>
      </x:c>
      <x:c r="S16" s="27" t="str">
        <x:v>Not reported in extracted metadata</x:v>
      </x:c>
      <x:c r="T16" s="27" t="str">
        <x:v>Automated metadata and passage extraction; full methods and tables require human review. Public full text available for deeper review.</x:v>
      </x:c>
      <x:c r="U16" s="27" t="str">
        <x:v>Region was not clearly North American; practical transferability requires local dietetic and healthcare context.</x:v>
      </x:c>
      <x:c r="V16" s="27" t="str"/>
      <x:c r="W16" s="27" t="str">
        <x:v>high</x:v>
      </x:c>
      <x:c r="X16" s="27" t="str">
        <x:v>ready_for_human_review</x:v>
      </x:c>
      <x:c r="Y16" s="27" t="str">
        <x:v>pending_human_review</x:v>
      </x:c>
      <x:c r="Z16" s="30" t="str"/>
      <x:c r="AA16" s="30" t="str"/>
      <x:c r="AB16" s="30" t="str"/>
    </x:row>
    <x:row r="17" ht="92" customHeight="1">
      <x:c r="A17" s="27" t="str">
        <x:v>CLM-024</x:v>
      </x:c>
      <x:c r="B17" s="27" t="str">
        <x:v>SRC-006</x:v>
      </x:c>
      <x:c r="C17" s="27" t="str"/>
      <x:c r="D17" s="27" t="str">
        <x:v>Dietary fat is associated with increased inflammatory bowel disease onset risk: a systematic review and dose-response meta-analysis.</x:v>
      </x:c>
      <x:c r="E17" s="27" t="str">
        <x:v>core_condition_knowledge</x:v>
      </x:c>
      <x:c r="F17" s="27" t="str">
        <x:v>ibd_general</x:v>
      </x:c>
      <x:c r="G17" s="27" t="str">
        <x:v>general_or_unspecified</x:v>
      </x:c>
      <x:c r="H17" s="27" t="str">
        <x:v>CONCLUSIONS: Higher fat intake might be modestly associated with increased IBD onset risk, particularly for PUFA and cholesterol, whereas LCN-n-3 and a high n3/n6-PUFA ratio may offer protective effects against IBD onset.</x:v>
      </x:c>
      <x:c r="I17" s="27" t="str">
        <x:v>The cited source reports that higher fat intake might be modestly associated with increased IBD onset risk, particularly for PUFA and cholesterol, whereas LCN-n-3 and a high n3/n6-PUFA ratio was associated with lower IBD onset. This is population-level association evidence and does not establish causation or predict an individual's disease course.</x:v>
      </x:c>
      <x:c r="J17" s="27" t="str">
        <x:v>The cited source reports that higher fat intake might be modestly associated with increased IBD onset risk, particularly for PUFA and cholesterol, whereas LCN-n-3 and a high n3/n6-PUFA ratio was associated with lower IBD onset. This is population-level association evidence and does not establish causation or predict an individual's disease course.</x:v>
      </x:c>
      <x:c r="K17" s="27" t="str">
        <x:v>Keep the observational or incidence framing explicit; do not convert association into causal or individual disease-course advice.</x:v>
      </x:c>
      <x:c r="L17" s="27" t="str">
        <x:v>Keep the observational or incidence framing explicit; do not convert association into causal or individual disease-course advice.</x:v>
      </x:c>
      <x:c r="M17" s="27" t="str">
        <x:v>CONCLUSIONS: Higher fat intake might be modestly associated with increased IBD onset risk, particularly for PUFA and cholesterol, whereas LCN-n-3 and a high n3/n6-PUFA ratio may offer protective effects against IBD onset.</x:v>
      </x:c>
      <x:c r="N17" s="27" t="str">
        <x:v>PubMed abstract — sentence 8</x:v>
      </x:c>
      <x:c r="O17" s="27" t="str">
        <x:v>meta_analysis</x:v>
      </x:c>
      <x:c r="P17" s="27" t="str"/>
      <x:c r="Q17" s="27" t="str">
        <x:v>meta-analysis</x:v>
      </x:c>
      <x:c r="R17" s="27" t="str">
        <x:v>People with IBD or source-defined population; details require full-text review</x:v>
      </x:c>
      <x:c r="S17" s="27" t="str">
        <x:v>Not reported in extracted metadata</x:v>
      </x:c>
      <x:c r="T17" s="27" t="str">
        <x:v>Automated metadata and passage extraction; full methods and tables require human review. Public full text available for deeper review.</x:v>
      </x:c>
      <x:c r="U17" s="27" t="str">
        <x:v>Region was not clearly North American; practical transferability requires local dietetic and healthcare context.</x:v>
      </x:c>
      <x:c r="V17" s="27" t="str"/>
      <x:c r="W17" s="27" t="str">
        <x:v>high</x:v>
      </x:c>
      <x:c r="X17" s="27" t="str">
        <x:v>ready_for_human_review</x:v>
      </x:c>
      <x:c r="Y17" s="27" t="str">
        <x:v>pending_human_review</x:v>
      </x:c>
      <x:c r="Z17" s="30" t="str"/>
      <x:c r="AA17" s="30" t="str"/>
      <x:c r="AB17" s="30" t="str"/>
    </x:row>
    <x:row r="18" ht="92" customHeight="1">
      <x:c r="A18" s="27" t="str">
        <x:v>CLM-025</x:v>
      </x:c>
      <x:c r="B18" s="27" t="str">
        <x:v>SRC-007</x:v>
      </x:c>
      <x:c r="C18" s="27" t="str"/>
      <x:c r="D18" s="27" t="str">
        <x:v>Systematic review and meta-analysis of lactose digestion, its impact on intolerance and nutritional effects of dairy food restriction in inflammatory bowel diseases.</x:v>
      </x:c>
      <x:c r="E18" s="27" t="str">
        <x:v>dairy_lactose</x:v>
      </x:c>
      <x:c r="F18" s="27" t="str">
        <x:v>crohns_disease; ibd_general</x:v>
      </x:c>
      <x:c r="G18" s="27" t="str">
        <x:v>general_or_unspecified</x:v>
      </x:c>
      <x:c r="H18" s="27" t="str">
        <x:v>Of these 17 were included in meta-analysis which showed overall increased lactose maldigestion in both diseases.</x:v>
      </x:c>
      <x:c r="I18" s="27" t="str">
        <x:v>The cited source reports that of these 17 were included in meta-analysis which showed overall increased lactose maldigestion in both diseases.</x:v>
      </x:c>
      <x:c r="J18" s="27" t="str">
        <x:v>The cited source reports that of these 17 were included in meta-analysis which showed overall increased lactose maldigestion in both diseases.</x:v>
      </x:c>
      <x:c r="K18" s="27" t="str">
        <x:v>State the measured outcome precisely and avoid treating symptom change, biomarkers, and inflammation as interchangeable.</x:v>
      </x:c>
      <x:c r="L18" s="27" t="str">
        <x:v>State the measured outcome precisely and avoid treating symptom change, biomarkers, and inflammation as interchangeable.</x:v>
      </x:c>
      <x:c r="M18" s="27" t="str">
        <x:v>Of these 17 were included in meta-analysis which showed overall increased lactose maldigestion in both diseases.</x:v>
      </x:c>
      <x:c r="N18" s="27" t="str">
        <x:v>PubMed abstract — sentence 6</x:v>
      </x:c>
      <x:c r="O18" s="27" t="str">
        <x:v>meta_analysis</x:v>
      </x:c>
      <x:c r="P18" s="27" t="str"/>
      <x:c r="Q18" s="27" t="str">
        <x:v>meta-analysis</x:v>
      </x:c>
      <x:c r="R18" s="27" t="str">
        <x:v>People with IBD or source-defined population; details require full-text review</x:v>
      </x:c>
      <x:c r="S18" s="27" t="str">
        <x:v>Not reported in extracted metadata</x:v>
      </x:c>
      <x:c r="T18" s="27" t="str">
        <x:v>Automated metadata and passage extraction; full methods and tables require human review. Public full text available for deeper review.</x:v>
      </x:c>
      <x:c r="U18" s="27" t="str">
        <x:v>Region was not clearly North American; practical transferability requires local dietetic and healthcare context.</x:v>
      </x:c>
      <x:c r="V18" s="27" t="str"/>
      <x:c r="W18" s="27" t="str">
        <x:v>high</x:v>
      </x:c>
      <x:c r="X18" s="27" t="str">
        <x:v>ready_for_human_review</x:v>
      </x:c>
      <x:c r="Y18" s="27" t="str">
        <x:v>pending_human_review</x:v>
      </x:c>
      <x:c r="Z18" s="30" t="str"/>
      <x:c r="AA18" s="30" t="str"/>
      <x:c r="AB18" s="30" t="str"/>
    </x:row>
    <x:row r="19" ht="92" customHeight="1">
      <x:c r="A19" s="27" t="str">
        <x:v>CLM-026</x:v>
      </x:c>
      <x:c r="B19" s="27" t="str">
        <x:v>SRC-007</x:v>
      </x:c>
      <x:c r="C19" s="27" t="str"/>
      <x:c r="D19" s="27" t="str">
        <x:v>Systematic review and meta-analysis of lactose digestion, its impact on intolerance and nutritional effects of dairy food restriction in inflammatory bowel diseases.</x:v>
      </x:c>
      <x:c r="E19" s="27" t="str">
        <x:v>dairy_lactose</x:v>
      </x:c>
      <x:c r="F19" s="27" t="str">
        <x:v>ibd_general</x:v>
      </x:c>
      <x:c r="G19" s="27" t="str">
        <x:v>general_or_unspecified</x:v>
      </x:c>
      <x:c r="H19" s="27" t="str">
        <x:v>CONCLUSIONS: Lactose maldigestion in inflammatory bowel disease is dependent on ethnic makeup of the population and usually not disease.</x:v>
      </x:c>
      <x:c r="I19" s="27" t="str">
        <x:v>The cited source reports that lactose maldigestion in inflammatory bowel disease is dependent on ethnic makeup of the population and usually not disease. The specific measured marker or inflammatory outcome should remain explicit.</x:v>
      </x:c>
      <x:c r="J19" s="27" t="str">
        <x:v>The cited source reports that lactose maldigestion in inflammatory bowel disease is dependent on ethnic makeup of the population and usually not disease. The specific measured marker or inflammatory outcome should remain explicit.</x:v>
      </x:c>
      <x:c r="K19" s="27" t="str">
        <x:v>State the measured outcome precisely and avoid treating symptom change, biomarkers, and inflammation as interchangeable.</x:v>
      </x:c>
      <x:c r="L19" s="27" t="str">
        <x:v>State the measured outcome precisely and avoid treating symptom change, biomarkers, and inflammation as interchangeable.</x:v>
      </x:c>
      <x:c r="M19" s="27" t="str">
        <x:v>CONCLUSIONS: Lactose maldigestion in inflammatory bowel disease is dependent on ethnic makeup of the population and usually not disease.</x:v>
      </x:c>
      <x:c r="N19" s="27" t="str">
        <x:v>PubMed abstract — sentence 12</x:v>
      </x:c>
      <x:c r="O19" s="27" t="str">
        <x:v>meta_analysis</x:v>
      </x:c>
      <x:c r="P19" s="27" t="str"/>
      <x:c r="Q19" s="27" t="str">
        <x:v>meta-analysis</x:v>
      </x:c>
      <x:c r="R19" s="27" t="str">
        <x:v>People with IBD or source-defined population; details require full-text review</x:v>
      </x:c>
      <x:c r="S19" s="27" t="str">
        <x:v>Not reported in extracted metadata</x:v>
      </x:c>
      <x:c r="T19" s="27" t="str">
        <x:v>Automated metadata and passage extraction; full methods and tables require human review. Public full text available for deeper review.</x:v>
      </x:c>
      <x:c r="U19" s="27" t="str">
        <x:v>Region was not clearly North American; practical transferability requires local dietetic and healthcare context.</x:v>
      </x:c>
      <x:c r="V19" s="27" t="str"/>
      <x:c r="W19" s="27" t="str">
        <x:v>high</x:v>
      </x:c>
      <x:c r="X19" s="27" t="str">
        <x:v>ready_for_human_review</x:v>
      </x:c>
      <x:c r="Y19" s="27" t="str">
        <x:v>pending_human_review</x:v>
      </x:c>
      <x:c r="Z19" s="30" t="str"/>
      <x:c r="AA19" s="30" t="str"/>
      <x:c r="AB19" s="30" t="str"/>
    </x:row>
    <x:row r="20" ht="92" customHeight="1">
      <x:c r="A20" s="27" t="str">
        <x:v>CLM-028</x:v>
      </x:c>
      <x:c r="B20" s="27" t="str">
        <x:v>SRC-007</x:v>
      </x:c>
      <x:c r="C20" s="27" t="str"/>
      <x:c r="D20" s="27" t="str">
        <x:v>Systematic review and meta-analysis of lactose digestion, its impact on intolerance and nutritional effects of dairy food restriction in inflammatory bowel diseases.</x:v>
      </x:c>
      <x:c r="E20" s="27" t="str">
        <x:v>core_condition_knowledge</x:v>
      </x:c>
      <x:c r="F20" s="27" t="str">
        <x:v>crohns_disease</x:v>
      </x:c>
      <x:c r="G20" s="27" t="str">
        <x:v>general_or_unspecified</x:v>
      </x:c>
      <x:c r="H20" s="27" t="str">
        <x:v>However increased risk on sub analysis was only found in Crohn's in patients with small bowel involvement.</x:v>
      </x:c>
      <x:c r="I20" s="27" t="str">
        <x:v>The cited source reports that however increased risk on sub analysis was only found in Crohn's in patients with small bowel involvement. This is population-level association evidence and does not establish causation or predict an individual's disease course.</x:v>
      </x:c>
      <x:c r="J20" s="27" t="str">
        <x:v>The cited source reports that however increased risk on sub analysis was only found in Crohn's in patients with small bowel involvement. This is population-level association evidence and does not establish causation or predict an individual's disease course.</x:v>
      </x:c>
      <x:c r="K20" s="27" t="str">
        <x:v>Keep the observational or incidence framing explicit; do not convert association into causal or individual disease-course advice.</x:v>
      </x:c>
      <x:c r="L20" s="27" t="str">
        <x:v>Keep the observational or incidence framing explicit; do not convert association into causal or individual disease-course advice.</x:v>
      </x:c>
      <x:c r="M20" s="27" t="str">
        <x:v>However increased risk on sub analysis was only found in Crohn's in patients with small bowel involvement.</x:v>
      </x:c>
      <x:c r="N20" s="27" t="str">
        <x:v>PubMed abstract — sentence 7</x:v>
      </x:c>
      <x:c r="O20" s="27" t="str">
        <x:v>meta_analysis</x:v>
      </x:c>
      <x:c r="P20" s="27" t="str"/>
      <x:c r="Q20" s="27" t="str">
        <x:v>meta-analysis</x:v>
      </x:c>
      <x:c r="R20" s="27" t="str">
        <x:v>People with IBD or source-defined population; details require full-text review</x:v>
      </x:c>
      <x:c r="S20" s="27" t="str">
        <x:v>Not reported in extracted metadata</x:v>
      </x:c>
      <x:c r="T20" s="27" t="str">
        <x:v>Automated metadata and passage extraction; full methods and tables require human review. Public full text available for deeper review.</x:v>
      </x:c>
      <x:c r="U20" s="27" t="str">
        <x:v>Region was not clearly North American; practical transferability requires local dietetic and healthcare context.</x:v>
      </x:c>
      <x:c r="V20" s="27" t="str"/>
      <x:c r="W20" s="27" t="str">
        <x:v>high</x:v>
      </x:c>
      <x:c r="X20" s="27" t="str">
        <x:v>ready_for_human_review</x:v>
      </x:c>
      <x:c r="Y20" s="27" t="str">
        <x:v>pending_human_review</x:v>
      </x:c>
      <x:c r="Z20" s="30" t="str"/>
      <x:c r="AA20" s="30" t="str"/>
      <x:c r="AB20" s="30" t="str"/>
    </x:row>
    <x:row r="21" ht="92" customHeight="1">
      <x:c r="A21" s="27" t="str">
        <x:v>CLM-029</x:v>
      </x:c>
      <x:c r="B21" s="27" t="str">
        <x:v>SRC-008</x:v>
      </x:c>
      <x:c r="C21" s="27" t="str"/>
      <x:c r="D21" s="27" t="str">
        <x:v>Nutrition, Nutritional Status, Micronutrients Deficiency, and Disease Course of Inflammatory Bowel Disease.</x:v>
      </x:c>
      <x:c r="E21" s="27" t="str">
        <x:v>stress_quality_of_life</x:v>
      </x:c>
      <x:c r="F21" s="27" t="str">
        <x:v>ibd_general</x:v>
      </x:c>
      <x:c r="G21" s="27" t="str">
        <x:v>remission</x:v>
      </x:c>
      <x:c r="H21" s="27" t="str">
        <x:v>The evidence summarized in this review showed that many nutritional aspects could be potential targets to induce a better control of symptoms, a deeper remission, and overall improve the quality of life of Inflammatory Bowel Disease patients.</x:v>
      </x:c>
      <x:c r="I21" s="27" t="str">
        <x:v>The cited source reports that the evidence summarized in this review showed that many nutritional aspects could be potential targets to induce a better control of symptoms, a deeper remission, and overall improve the quality of life of Inflammatory Bowel Disease patients. This is source-attributed information, not a treatment recommendation for an individual.</x:v>
      </x:c>
      <x:c r="J21" s="27" t="str">
        <x:v>The cited source reports that the evidence summarized in this review showed that many nutritional aspects could be potential targets to induce a better control of symptoms, a deeper remission, and overall improve the quality of life of Inflammatory Bowel Disease patients. This is source-attributed information, not a treatment recommendation for an individual.</x:v>
      </x:c>
      <x:c r="K21" s="27" t="str">
        <x:v>Narrow the wording to the exact passage and retain the source's limitations and uncertainty.</x:v>
      </x:c>
      <x:c r="L21" s="27" t="str">
        <x:v>Narrow the wording to the exact passage and retain the source's limitations and uncertainty.</x:v>
      </x:c>
      <x:c r="M21" s="27" t="str">
        <x:v>The evidence summarized in this review showed that many nutritional aspects could be potential targets to induce a better control of symptoms, a deeper remission, and overall improve the quality of life of Inflammatory Bowel Disease patients.</x:v>
      </x:c>
      <x:c r="N21" s="27" t="str">
        <x:v>PubMed abstract — sentence 10</x:v>
      </x:c>
      <x:c r="O21" s="27" t="str">
        <x:v>systematic_review</x:v>
      </x:c>
      <x:c r="P21" s="27" t="str"/>
      <x:c r="Q21" s="27" t="str">
        <x:v>systematic review</x:v>
      </x:c>
      <x:c r="R21" s="27" t="str">
        <x:v>Adults with IBD, as specified</x:v>
      </x:c>
      <x:c r="S21" s="27" t="str">
        <x:v>Not reported in extracted metadata</x:v>
      </x:c>
      <x:c r="T21" s="27" t="str">
        <x:v>Automated metadata and passage extraction; full methods and tables require human review. Public full text available for deeper review.</x:v>
      </x:c>
      <x:c r="U21" s="27" t="str">
        <x:v>Region was not clearly North American; practical transferability requires local dietetic and healthcare context.</x:v>
      </x:c>
      <x:c r="V21" s="27" t="str"/>
      <x:c r="W21" s="27" t="str">
        <x:v>high</x:v>
      </x:c>
      <x:c r="X21" s="27" t="str">
        <x:v>ready_for_human_review</x:v>
      </x:c>
      <x:c r="Y21" s="27" t="str">
        <x:v>pending_human_review</x:v>
      </x:c>
      <x:c r="Z21" s="30" t="str"/>
      <x:c r="AA21" s="30" t="str"/>
      <x:c r="AB21" s="30" t="str"/>
    </x:row>
    <x:row r="22" ht="92" customHeight="1">
      <x:c r="A22" s="27" t="str">
        <x:v>CLM-030</x:v>
      </x:c>
      <x:c r="B22" s="27" t="str">
        <x:v>SRC-008</x:v>
      </x:c>
      <x:c r="C22" s="27" t="str"/>
      <x:c r="D22" s="27" t="str">
        <x:v>Nutrition, Nutritional Status, Micronutrients Deficiency, and Disease Course of Inflammatory Bowel Disease.</x:v>
      </x:c>
      <x:c r="E22" s="27" t="str">
        <x:v>nutrition_status</x:v>
      </x:c>
      <x:c r="F22" s="27" t="str">
        <x:v>ibd_general</x:v>
      </x:c>
      <x:c r="G22" s="27" t="str">
        <x:v>general_or_unspecified</x:v>
      </x:c>
      <x:c r="H22" s="27" t="str">
        <x:v>During the disease course, most Inflammatory Bowel Disease patients present a condition of malnutrition, undernutrition, or even overnutrition.</x:v>
      </x:c>
      <x:c r="I22" s="27" t="str">
        <x:v>The cited source reports that during the disease course, most Inflammatory Bowel Disease patients present a condition of malnutrition, undernutrition, or even overnutrition. The specific measured marker or inflammatory outcome should remain explicit.</x:v>
      </x:c>
      <x:c r="J22" s="27" t="str">
        <x:v>The cited source reports that during the disease course, most Inflammatory Bowel Disease patients present a condition of malnutrition, undernutrition, or even overnutrition. The specific measured marker or inflammatory outcome should remain explicit.</x:v>
      </x:c>
      <x:c r="K22" s="27" t="str">
        <x:v>State the measured outcome precisely and avoid treating symptom change, biomarkers, and inflammation as interchangeable.</x:v>
      </x:c>
      <x:c r="L22" s="27" t="str">
        <x:v>State the measured outcome precisely and avoid treating symptom change, biomarkers, and inflammation as interchangeable.</x:v>
      </x:c>
      <x:c r="M22" s="27" t="str">
        <x:v>During the disease course, most Inflammatory Bowel Disease patients present a condition of malnutrition, undernutrition, or even overnutrition.</x:v>
      </x:c>
      <x:c r="N22" s="27" t="str">
        <x:v>PubMed abstract — sentence 1</x:v>
      </x:c>
      <x:c r="O22" s="27" t="str">
        <x:v>systematic_review</x:v>
      </x:c>
      <x:c r="P22" s="27" t="str"/>
      <x:c r="Q22" s="27" t="str">
        <x:v>systematic review</x:v>
      </x:c>
      <x:c r="R22" s="27" t="str">
        <x:v>Adults with IBD, as specified</x:v>
      </x:c>
      <x:c r="S22" s="27" t="str">
        <x:v>Not reported in extracted metadata</x:v>
      </x:c>
      <x:c r="T22" s="27" t="str">
        <x:v>Automated metadata and passage extraction; full methods and tables require human review. Public full text available for deeper review.</x:v>
      </x:c>
      <x:c r="U22" s="27" t="str">
        <x:v>Region was not clearly North American; practical transferability requires local dietetic and healthcare context.</x:v>
      </x:c>
      <x:c r="V22" s="27" t="str"/>
      <x:c r="W22" s="27" t="str">
        <x:v>high</x:v>
      </x:c>
      <x:c r="X22" s="27" t="str">
        <x:v>ready_for_human_review</x:v>
      </x:c>
      <x:c r="Y22" s="27" t="str">
        <x:v>pending_human_review</x:v>
      </x:c>
      <x:c r="Z22" s="30" t="str"/>
      <x:c r="AA22" s="30" t="str"/>
      <x:c r="AB22" s="30" t="str"/>
    </x:row>
    <x:row r="23" ht="92" customHeight="1">
      <x:c r="A23" s="27" t="str">
        <x:v>CLM-031</x:v>
      </x:c>
      <x:c r="B23" s="27" t="str">
        <x:v>SRC-008</x:v>
      </x:c>
      <x:c r="C23" s="27" t="str"/>
      <x:c r="D23" s="27" t="str">
        <x:v>Nutrition, Nutritional Status, Micronutrients Deficiency, and Disease Course of Inflammatory Bowel Disease.</x:v>
      </x:c>
      <x:c r="E23" s="27" t="str">
        <x:v>nutrition_status</x:v>
      </x:c>
      <x:c r="F23" s="27" t="str">
        <x:v>ibd_general</x:v>
      </x:c>
      <x:c r="G23" s="27" t="str">
        <x:v>active_disease; remission</x:v>
      </x:c>
      <x:c r="H23" s="27" t="str">
        <x:v>A suboptimal nutritional status and low micronutrient serum levels can have a negative impact on both induction and maintenance of remission and on the quality of life of Inflammatory Bowel Disease patients.</x:v>
      </x:c>
      <x:c r="I23" s="27" t="str">
        <x:v>The cited source reports that a suboptimal nutritional status and low micronutrient serum levels can have a negative impact on both induction and maintenance of remission and on the quality of life of Inflammatory Bowel Disease patients. This is source-attributed information, not a treatment recommendation for an individual.</x:v>
      </x:c>
      <x:c r="J23" s="27" t="str">
        <x:v>The cited source reports that a suboptimal nutritional status and low micronutrient serum levels can have a negative impact on both induction and maintenance of remission and on the quality of life of Inflammatory Bowel Disease patients. This is source-attributed information, not a treatment recommendation for an individual.</x:v>
      </x:c>
      <x:c r="K23" s="27" t="str">
        <x:v>Narrow the wording to the exact passage and retain the source's limitations and uncertainty.</x:v>
      </x:c>
      <x:c r="L23" s="27" t="str">
        <x:v>Narrow the wording to the exact passage and retain the source's limitations and uncertainty.</x:v>
      </x:c>
      <x:c r="M23" s="27" t="str">
        <x:v>A suboptimal nutritional status and low micronutrient serum levels can have a negative impact on both induction and maintenance of remission and on the quality of life of Inflammatory Bowel Disease patients.</x:v>
      </x:c>
      <x:c r="N23" s="27" t="str">
        <x:v>PubMed abstract — sentence 3</x:v>
      </x:c>
      <x:c r="O23" s="27" t="str">
        <x:v>systematic_review</x:v>
      </x:c>
      <x:c r="P23" s="27" t="str"/>
      <x:c r="Q23" s="27" t="str">
        <x:v>systematic review</x:v>
      </x:c>
      <x:c r="R23" s="27" t="str">
        <x:v>Adults with IBD, as specified</x:v>
      </x:c>
      <x:c r="S23" s="27" t="str">
        <x:v>Not reported in extracted metadata</x:v>
      </x:c>
      <x:c r="T23" s="27" t="str">
        <x:v>Automated metadata and passage extraction; full methods and tables require human review. Public full text available for deeper review.</x:v>
      </x:c>
      <x:c r="U23" s="27" t="str">
        <x:v>Region was not clearly North American; practical transferability requires local dietetic and healthcare context.</x:v>
      </x:c>
      <x:c r="V23" s="27" t="str"/>
      <x:c r="W23" s="27" t="str">
        <x:v>high</x:v>
      </x:c>
      <x:c r="X23" s="27" t="str">
        <x:v>ready_for_human_review</x:v>
      </x:c>
      <x:c r="Y23" s="27" t="str">
        <x:v>pending_human_review</x:v>
      </x:c>
      <x:c r="Z23" s="30" t="str"/>
      <x:c r="AA23" s="30" t="str"/>
      <x:c r="AB23" s="30" t="str"/>
    </x:row>
    <x:row r="24" ht="92" customHeight="1">
      <x:c r="A24" s="27" t="str">
        <x:v>CLM-033</x:v>
      </x:c>
      <x:c r="B24" s="27" t="str">
        <x:v>SRC-009</x:v>
      </x:c>
      <x:c r="C24" s="27" t="str"/>
      <x:c r="D24" s="27" t="str">
        <x:v>Systematic review and meta-analysis of sleep quality in inactive inflammatory bowel disease.</x:v>
      </x:c>
      <x:c r="E24" s="27" t="str">
        <x:v>sleep</x:v>
      </x:c>
      <x:c r="F24" s="27" t="str">
        <x:v>ibd_general</x:v>
      </x:c>
      <x:c r="G24" s="27" t="str">
        <x:v>general_or_unspecified</x:v>
      </x:c>
      <x:c r="H24" s="27" t="str">
        <x:v>Poor sleep in people with inflammatory bowel disease (IBD) has been demonstrated to be prevalent and has been associated with disease activity.</x:v>
      </x:c>
      <x:c r="I24" s="27" t="str">
        <x:v>The cited source reports that poor sleep in people with inflammatory bowel disease (IBD) has been demonstrated to be prevalent and has been associated with disease activity. This is population-level association evidence and does not establish causation or predict an individual's disease course. The specific measured marker or inflammatory outcome should remain explicit.</x:v>
      </x:c>
      <x:c r="J24" s="27" t="str">
        <x:v>The cited source reports that poor sleep in people with inflammatory bowel disease (IBD) has been demonstrated to be prevalent and has been associated with disease activity. This is population-level association evidence and does not establish causation or predict an individual's disease course. The specific measured marker or inflammatory outcome should remain explicit.</x:v>
      </x:c>
      <x:c r="K24" s="27" t="str">
        <x:v>Keep the observational or incidence framing explicit; do not convert association into causal or individual disease-course advice.</x:v>
      </x:c>
      <x:c r="L24" s="27" t="str">
        <x:v>Keep the observational or incidence framing explicit; do not convert association into causal or individual disease-course advice.</x:v>
      </x:c>
      <x:c r="M24" s="27" t="str">
        <x:v>Poor sleep in people with inflammatory bowel disease (IBD) has been demonstrated to be prevalent and has been associated with disease activity.</x:v>
      </x:c>
      <x:c r="N24" s="27" t="str">
        <x:v>PubMed abstract — sentence 1</x:v>
      </x:c>
      <x:c r="O24" s="27" t="str">
        <x:v>meta_analysis</x:v>
      </x:c>
      <x:c r="P24" s="27" t="str"/>
      <x:c r="Q24" s="27" t="str">
        <x:v>meta-analysis</x:v>
      </x:c>
      <x:c r="R24" s="27" t="str">
        <x:v>General population cohort; indirect evidence for IBD users</x:v>
      </x:c>
      <x:c r="S24" s="27" t="str">
        <x:v>Not reported in extracted metadata</x:v>
      </x:c>
      <x:c r="T24" s="27" t="str">
        <x:v>Automated metadata and passage extraction; full methods and tables require human review. Public full text available for deeper review.</x:v>
      </x:c>
      <x:c r="U24" s="27" t="str">
        <x:v>Region was not clearly North American; practical transferability requires local dietetic and healthcare context.</x:v>
      </x:c>
      <x:c r="V24" s="27" t="str"/>
      <x:c r="W24" s="27" t="str">
        <x:v>high</x:v>
      </x:c>
      <x:c r="X24" s="27" t="str">
        <x:v>ready_for_human_review</x:v>
      </x:c>
      <x:c r="Y24" s="27" t="str">
        <x:v>pending_human_review</x:v>
      </x:c>
      <x:c r="Z24" s="30" t="str"/>
      <x:c r="AA24" s="30" t="str"/>
      <x:c r="AB24" s="30" t="str"/>
    </x:row>
    <x:row r="25" ht="92" customHeight="1">
      <x:c r="A25" s="27" t="str">
        <x:v>CLM-037</x:v>
      </x:c>
      <x:c r="B25" s="27" t="str">
        <x:v>SRC-010</x:v>
      </x:c>
      <x:c r="C25" s="27" t="str"/>
      <x:c r="D25" s="27" t="str">
        <x:v>Assessment of causal link between psychological factors and symptom exacerbation in inflammatory bowel disease: a systematic review utilising Bradford Hill criteria and meta-analysis of prospective cohort studies.</x:v>
      </x:c>
      <x:c r="E25" s="27" t="str">
        <x:v>stress_quality_of_life</x:v>
      </x:c>
      <x:c r="F25" s="27" t="str">
        <x:v>ibd_general</x:v>
      </x:c>
      <x:c r="G25" s="27" t="str">
        <x:v>general_or_unspecified</x:v>
      </x:c>
      <x:c r="H25" s="27" t="str">
        <x:v>Meta-analysis showed depression, anxiety and perceived stress did not have a statistically significant association with an increased risk of symptom exacerbation.</x:v>
      </x:c>
      <x:c r="I25" s="27" t="str">
        <x:v>The cited source reports that meta-analysis showed depression, anxiety and perceived stress did not have a statistically significant association with an increased risk of symptom exacerbation. This is population-level association evidence and does not establish causation or predict an individual's disease course. Symptom findings do not by themselves show reduced intestinal inflammation.</x:v>
      </x:c>
      <x:c r="J25" s="27" t="str">
        <x:v>The cited source reports that meta-analysis showed depression, anxiety and perceived stress did not have a statistically significant association with an increased risk of symptom exacerbation. This is population-level association evidence and does not establish causation or predict an individual's disease course. Symptom findings do not by themselves show reduced intestinal inflammation.</x:v>
      </x:c>
      <x:c r="K25" s="27" t="str">
        <x:v>Keep the observational or incidence framing explicit; do not convert association into causal or individual disease-course advice.</x:v>
      </x:c>
      <x:c r="L25" s="27" t="str">
        <x:v>Keep the observational or incidence framing explicit; do not convert association into causal or individual disease-course advice.</x:v>
      </x:c>
      <x:c r="M25" s="27" t="str">
        <x:v>Meta-analysis showed depression, anxiety and perceived stress did not have a statistically significant association with an increased risk of symptom exacerbation.</x:v>
      </x:c>
      <x:c r="N25" s="27" t="str">
        <x:v>PubMed abstract — sentence 11</x:v>
      </x:c>
      <x:c r="O25" s="27" t="str">
        <x:v>meta_analysis</x:v>
      </x:c>
      <x:c r="P25" s="27" t="str"/>
      <x:c r="Q25" s="27" t="str">
        <x:v>meta-analysis</x:v>
      </x:c>
      <x:c r="R25" s="27" t="str">
        <x:v>People with IBD or source-defined population; details require full-text review</x:v>
      </x:c>
      <x:c r="S25" s="27" t="str">
        <x:v>Not reported in extracted metadata</x:v>
      </x:c>
      <x:c r="T25" s="27" t="str">
        <x:v>Automated metadata and passage extraction; full methods and tables require human review. Public full text available for deeper review.</x:v>
      </x:c>
      <x:c r="U25" s="27" t="str">
        <x:v>Region was not clearly North American; practical transferability requires local dietetic and healthcare context.</x:v>
      </x:c>
      <x:c r="V25" s="27" t="str"/>
      <x:c r="W25" s="27" t="str">
        <x:v>high</x:v>
      </x:c>
      <x:c r="X25" s="27" t="str">
        <x:v>ready_for_human_review</x:v>
      </x:c>
      <x:c r="Y25" s="27" t="str">
        <x:v>pending_human_review</x:v>
      </x:c>
      <x:c r="Z25" s="30" t="str"/>
      <x:c r="AA25" s="30" t="str"/>
      <x:c r="AB25" s="30" t="str"/>
    </x:row>
    <x:row r="26" ht="92" customHeight="1">
      <x:c r="A26" s="27" t="str">
        <x:v>CLM-038</x:v>
      </x:c>
      <x:c r="B26" s="27" t="str">
        <x:v>SRC-010</x:v>
      </x:c>
      <x:c r="C26" s="27" t="str"/>
      <x:c r="D26" s="27" t="str">
        <x:v>Assessment of causal link between psychological factors and symptom exacerbation in inflammatory bowel disease: a systematic review utilising Bradford Hill criteria and meta-analysis of prospective cohort studies.</x:v>
      </x:c>
      <x:c r="E26" s="27" t="str">
        <x:v>stress_quality_of_life</x:v>
      </x:c>
      <x:c r="F26" s="27" t="str">
        <x:v>ibd_general</x:v>
      </x:c>
      <x:c r="G26" s="27" t="str">
        <x:v>general_or_unspecified</x:v>
      </x:c>
      <x:c r="H26" s="27" t="str">
        <x:v>Four of the Bradford Hill criteria were met which indicates that there is weak to moderate evidence of a causal association between all the psychological factors and disease activity.</x:v>
      </x:c>
      <x:c r="I26" s="27" t="str">
        <x:v>The cited source reports that four of the Bradford Hill criteria were met which indicates that there is weak to moderate evidence of a causal association between all the psychological factors and disease activity.</x:v>
      </x:c>
      <x:c r="J26" s="27" t="str">
        <x:v>The cited source reports that four of the Bradford Hill criteria were met which indicates that there is weak to moderate evidence of a causal association between all the psychological factors and disease activity.</x:v>
      </x:c>
      <x:c r="K26" s="27" t="str">
        <x:v>State the measured outcome precisely and avoid treating symptom change, biomarkers, and inflammation as interchangeable.</x:v>
      </x:c>
      <x:c r="L26" s="27" t="str">
        <x:v>State the measured outcome precisely and avoid treating symptom change, biomarkers, and inflammation as interchangeable.</x:v>
      </x:c>
      <x:c r="M26" s="27" t="str">
        <x:v>Four of the Bradford Hill criteria were met which indicates that there is weak to moderate evidence of a causal association between all the psychological factors and disease activity.</x:v>
      </x:c>
      <x:c r="N26" s="27" t="str">
        <x:v>PubMed abstract — sentence 12</x:v>
      </x:c>
      <x:c r="O26" s="27" t="str">
        <x:v>meta_analysis</x:v>
      </x:c>
      <x:c r="P26" s="27" t="str"/>
      <x:c r="Q26" s="27" t="str">
        <x:v>meta-analysis</x:v>
      </x:c>
      <x:c r="R26" s="27" t="str">
        <x:v>People with IBD or source-defined population; details require full-text review</x:v>
      </x:c>
      <x:c r="S26" s="27" t="str">
        <x:v>Not reported in extracted metadata</x:v>
      </x:c>
      <x:c r="T26" s="27" t="str">
        <x:v>Automated metadata and passage extraction; full methods and tables require human review. Public full text available for deeper review.</x:v>
      </x:c>
      <x:c r="U26" s="27" t="str">
        <x:v>Region was not clearly North American; practical transferability requires local dietetic and healthcare context.</x:v>
      </x:c>
      <x:c r="V26" s="27" t="str"/>
      <x:c r="W26" s="27" t="str">
        <x:v>high</x:v>
      </x:c>
      <x:c r="X26" s="27" t="str">
        <x:v>ready_for_human_review</x:v>
      </x:c>
      <x:c r="Y26" s="27" t="str">
        <x:v>pending_human_review</x:v>
      </x:c>
      <x:c r="Z26" s="30" t="str"/>
      <x:c r="AA26" s="30" t="str"/>
      <x:c r="AB26" s="30" t="str"/>
    </x:row>
    <x:row r="27" ht="92" customHeight="1">
      <x:c r="A27" s="27" t="str">
        <x:v>CLM-040</x:v>
      </x:c>
      <x:c r="B27" s="27" t="str">
        <x:v>SRC-010</x:v>
      </x:c>
      <x:c r="C27" s="27" t="str"/>
      <x:c r="D27" s="27" t="str">
        <x:v>Assessment of causal link between psychological factors and symptom exacerbation in inflammatory bowel disease: a systematic review utilising Bradford Hill criteria and meta-analysis of prospective cohort studies.</x:v>
      </x:c>
      <x:c r="E27" s="27" t="str">
        <x:v>stress_quality_of_life</x:v>
      </x:c>
      <x:c r="F27" s="27" t="str">
        <x:v>ibd_general</x:v>
      </x:c>
      <x:c r="G27" s="27" t="str">
        <x:v>general_or_unspecified</x:v>
      </x:c>
      <x:c r="H27" s="27" t="str">
        <x:v>CONCLUSIONS: This original review utilising Bradford Hill criteria in addition to meta-analysis to evaluate the causality of relationship between psychological factors and symptom exacerbation in IBD provides evidence that psychological factors have a weak to moderate causal involvement in IBD symptom exacerbation.</x:v>
      </x:c>
      <x:c r="I27" s="27" t="str">
        <x:v>The cited source reports that this original review utilising Bradford Hill criteria in addition to meta-analysis to evaluate the causality of relationship between psychological factors and symptom exacerbation in IBD provides evidence that psychological factors have a weak to moderate causal involvement in IBD symptom exacerbation. Symptom findings do not by themselves show reduced intestinal inflammation.</x:v>
      </x:c>
      <x:c r="J27" s="27" t="str">
        <x:v>The cited source reports that this original review utilising Bradford Hill criteria in addition to meta-analysis to evaluate the causality of relationship between psychological factors and symptom exacerbation in IBD provides evidence that psychological factors have a weak to moderate causal involvement in IBD symptom exacerbation. Symptom findings do not by themselves show reduced intestinal inflammation.</x:v>
      </x:c>
      <x:c r="K27" s="27" t="str">
        <x:v>State the measured outcome precisely and avoid treating symptom change, biomarkers, and inflammation as interchangeable.</x:v>
      </x:c>
      <x:c r="L27" s="27" t="str">
        <x:v>State the measured outcome precisely and avoid treating symptom change, biomarkers, and inflammation as interchangeable.</x:v>
      </x:c>
      <x:c r="M27" s="27" t="str">
        <x:v>CONCLUSIONS: This original review utilising Bradford Hill criteria in addition to meta-analysis to evaluate the causality of relationship between psychological factors and symptom exacerbation in IBD provides evidence that psychological factors have a weak to moderate causal involvement in IBD symptom exacerbation.</x:v>
      </x:c>
      <x:c r="N27" s="27" t="str">
        <x:v>PubMed abstract — sentence 14</x:v>
      </x:c>
      <x:c r="O27" s="27" t="str">
        <x:v>meta_analysis</x:v>
      </x:c>
      <x:c r="P27" s="27" t="str"/>
      <x:c r="Q27" s="27" t="str">
        <x:v>meta-analysis</x:v>
      </x:c>
      <x:c r="R27" s="27" t="str">
        <x:v>People with IBD or source-defined population; details require full-text review</x:v>
      </x:c>
      <x:c r="S27" s="27" t="str">
        <x:v>Not reported in extracted metadata</x:v>
      </x:c>
      <x:c r="T27" s="27" t="str">
        <x:v>Automated metadata and passage extraction; full methods and tables require human review. Public full text available for deeper review.</x:v>
      </x:c>
      <x:c r="U27" s="27" t="str">
        <x:v>Region was not clearly North American; practical transferability requires local dietetic and healthcare context.</x:v>
      </x:c>
      <x:c r="V27" s="27" t="str"/>
      <x:c r="W27" s="27" t="str">
        <x:v>high</x:v>
      </x:c>
      <x:c r="X27" s="27" t="str">
        <x:v>ready_for_human_review</x:v>
      </x:c>
      <x:c r="Y27" s="27" t="str">
        <x:v>pending_human_review</x:v>
      </x:c>
      <x:c r="Z27" s="30" t="str"/>
      <x:c r="AA27" s="30" t="str"/>
      <x:c r="AB27" s="30" t="str"/>
    </x:row>
    <x:row r="28" ht="92" customHeight="1">
      <x:c r="A28" s="27" t="str">
        <x:v>CLM-041</x:v>
      </x:c>
      <x:c r="B28" s="27" t="str">
        <x:v>SRC-011</x:v>
      </x:c>
      <x:c r="C28" s="27" t="str"/>
      <x:c r="D28" s="27" t="str">
        <x:v>Association of Dietary Fiber, Fruit, and Vegetable Consumption with Risk of Inflammatory Bowel Disease: A Systematic Review and Meta-Analysis.</x:v>
      </x:c>
      <x:c r="E28" s="27" t="str">
        <x:v>fruit_vegetables</x:v>
      </x:c>
      <x:c r="F28" s="27" t="str">
        <x:v>ibd_general</x:v>
      </x:c>
      <x:c r="G28" s="27" t="str">
        <x:v>general_or_unspecified</x:v>
      </x:c>
      <x:c r="H28" s="27" t="str">
        <x:v>In conclusion, dietary intake of fruit and vegetables was inversely associated with risk of IBD and its subtypes.</x:v>
      </x:c>
      <x:c r="I28" s="27" t="str">
        <x:v>The cited source reports that in conclusion, dietary intake of fruit and vegetables was inversely associated with risk of IBD and its subtypes. This is population-level association evidence and does not establish causation or predict an individual's disease course.</x:v>
      </x:c>
      <x:c r="J28" s="27" t="str">
        <x:v>The cited source reports that in conclusion, dietary intake of fruit and vegetables was inversely associated with risk of IBD and its subtypes. This is population-level association evidence and does not establish causation or predict an individual's disease course.</x:v>
      </x:c>
      <x:c r="K28" s="27" t="str">
        <x:v>Keep the observational or incidence framing explicit; do not convert association into causal or individual disease-course advice.</x:v>
      </x:c>
      <x:c r="L28" s="27" t="str">
        <x:v>Keep the observational or incidence framing explicit; do not convert association into causal or individual disease-course advice.</x:v>
      </x:c>
      <x:c r="M28" s="27" t="str">
        <x:v>In conclusion, dietary intake of fruit and vegetables was inversely associated with risk of IBD and its subtypes.</x:v>
      </x:c>
      <x:c r="N28" s="27" t="str">
        <x:v>PubMed abstract — sentence 10</x:v>
      </x:c>
      <x:c r="O28" s="27" t="str">
        <x:v>meta_analysis</x:v>
      </x:c>
      <x:c r="P28" s="27" t="str"/>
      <x:c r="Q28" s="27" t="str">
        <x:v>meta-analysis</x:v>
      </x:c>
      <x:c r="R28" s="27" t="str">
        <x:v>People with IBD or source-defined population; details require full-text review</x:v>
      </x:c>
      <x:c r="S28" s="27" t="str">
        <x:v>Not reported in extracted metadata</x:v>
      </x:c>
      <x:c r="T28" s="27" t="str">
        <x:v>Automated metadata and passage extraction; full methods and tables require human review. Public full text available for deeper review.</x:v>
      </x:c>
      <x:c r="U28" s="27" t="str">
        <x:v>Region was not clearly North American; practical transferability requires local dietetic and healthcare context.</x:v>
      </x:c>
      <x:c r="V28" s="27" t="str"/>
      <x:c r="W28" s="27" t="str">
        <x:v>high</x:v>
      </x:c>
      <x:c r="X28" s="27" t="str">
        <x:v>ready_for_human_review</x:v>
      </x:c>
      <x:c r="Y28" s="27" t="str">
        <x:v>pending_human_review</x:v>
      </x:c>
      <x:c r="Z28" s="30" t="str"/>
      <x:c r="AA28" s="30" t="str"/>
      <x:c r="AB28" s="30" t="str"/>
    </x:row>
    <x:row r="29" ht="92" customHeight="1">
      <x:c r="A29" s="27" t="str">
        <x:v>CLM-042</x:v>
      </x:c>
      <x:c r="B29" s="27" t="str">
        <x:v>SRC-011</x:v>
      </x:c>
      <x:c r="C29" s="27" t="str"/>
      <x:c r="D29" s="27" t="str">
        <x:v>Association of Dietary Fiber, Fruit, and Vegetable Consumption with Risk of Inflammatory Bowel Disease: A Systematic Review and Meta-Analysis.</x:v>
      </x:c>
      <x:c r="E29" s="27" t="str">
        <x:v>fibre</x:v>
      </x:c>
      <x:c r="F29" s="27" t="str">
        <x:v>ibd_general</x:v>
      </x:c>
      <x:c r="G29" s="27" t="str">
        <x:v>general_or_unspecified</x:v>
      </x:c>
      <x:c r="H29" s="27" t="str">
        <x:v>Dietary fiber intake was also inversely associated with incidence of IBD and CD, but not with UC.</x:v>
      </x:c>
      <x:c r="I29" s="27" t="str">
        <x:v>The cited source reports that dietary fiber intake was also inversely associated with incidence of IBD and CD, but not with UC. This is population-level association evidence and does not establish causation or predict an individual's disease course.</x:v>
      </x:c>
      <x:c r="J29" s="27" t="str">
        <x:v>The cited source reports that dietary fiber intake was also inversely associated with incidence of IBD and CD, but not with UC. This is population-level association evidence and does not establish causation or predict an individual's disease course.</x:v>
      </x:c>
      <x:c r="K29" s="27" t="str">
        <x:v>Keep the observational or incidence framing explicit; do not convert association into causal or individual disease-course advice.</x:v>
      </x:c>
      <x:c r="L29" s="27" t="str">
        <x:v>Keep the observational or incidence framing explicit; do not convert association into causal or individual disease-course advice.</x:v>
      </x:c>
      <x:c r="M29" s="27" t="str">
        <x:v>Dietary fiber intake was also inversely associated with incidence of IBD and CD, but not with UC.</x:v>
      </x:c>
      <x:c r="N29" s="27" t="str">
        <x:v>PubMed abstract — sentence 11</x:v>
      </x:c>
      <x:c r="O29" s="27" t="str">
        <x:v>meta_analysis</x:v>
      </x:c>
      <x:c r="P29" s="27" t="str"/>
      <x:c r="Q29" s="27" t="str">
        <x:v>meta-analysis</x:v>
      </x:c>
      <x:c r="R29" s="27" t="str">
        <x:v>People with IBD or source-defined population; details require full-text review</x:v>
      </x:c>
      <x:c r="S29" s="27" t="str">
        <x:v>Not reported in extracted metadata</x:v>
      </x:c>
      <x:c r="T29" s="27" t="str">
        <x:v>Automated metadata and passage extraction; full methods and tables require human review. Public full text available for deeper review.</x:v>
      </x:c>
      <x:c r="U29" s="27" t="str">
        <x:v>Region was not clearly North American; practical transferability requires local dietetic and healthcare context.</x:v>
      </x:c>
      <x:c r="V29" s="27" t="str"/>
      <x:c r="W29" s="27" t="str">
        <x:v>high</x:v>
      </x:c>
      <x:c r="X29" s="27" t="str">
        <x:v>ready_for_human_review</x:v>
      </x:c>
      <x:c r="Y29" s="27" t="str">
        <x:v>pending_human_review</x:v>
      </x:c>
      <x:c r="Z29" s="30" t="str"/>
      <x:c r="AA29" s="30" t="str"/>
      <x:c r="AB29" s="30" t="str"/>
    </x:row>
    <x:row r="30" ht="92" customHeight="1">
      <x:c r="A30" s="27" t="str">
        <x:v>CLM-044</x:v>
      </x:c>
      <x:c r="B30" s="27" t="str">
        <x:v>SRC-011</x:v>
      </x:c>
      <x:c r="C30" s="27" t="str"/>
      <x:c r="D30" s="27" t="str">
        <x:v>Association of Dietary Fiber, Fruit, and Vegetable Consumption with Risk of Inflammatory Bowel Disease: A Systematic Review and Meta-Analysis.</x:v>
      </x:c>
      <x:c r="E30" s="27" t="str">
        <x:v>fibre</x:v>
      </x:c>
      <x:c r="F30" s="27" t="str">
        <x:v>ibd_general</x:v>
      </x:c>
      <x:c r="G30" s="27" t="str">
        <x:v>general_or_unspecified</x:v>
      </x:c>
      <x:c r="H30" s="27" t="str">
        <x:v>Dietary fiber and its major sources can influence the risk of IBD by modulation of the gut microbiota.</x:v>
      </x:c>
      <x:c r="I30" s="27" t="str">
        <x:v>The cited source reports that dietary fiber and its major sources has been hypothesized to influence the risk of IBD by modulation of the gut microbiota. This is population-level association evidence and does not establish causation or predict an individual's disease course.</x:v>
      </x:c>
      <x:c r="J30" s="27" t="str">
        <x:v>The cited source reports that dietary fiber and its major sources has been hypothesized to influence the risk of IBD by modulation of the gut microbiota. This is population-level association evidence and does not establish causation or predict an individual's disease course.</x:v>
      </x:c>
      <x:c r="K30" s="27" t="str">
        <x:v>Keep the observational or incidence framing explicit; do not convert association into causal or individual disease-course advice.</x:v>
      </x:c>
      <x:c r="L30" s="27" t="str">
        <x:v>Keep the observational or incidence framing explicit; do not convert association into causal or individual disease-course advice.</x:v>
      </x:c>
      <x:c r="M30" s="27" t="str">
        <x:v>Dietary fiber and its major sources can influence the risk of IBD by modulation of the gut microbiota.</x:v>
      </x:c>
      <x:c r="N30" s="27" t="str">
        <x:v>PubMed abstract — sentence 2</x:v>
      </x:c>
      <x:c r="O30" s="27" t="str">
        <x:v>meta_analysis</x:v>
      </x:c>
      <x:c r="P30" s="27" t="str"/>
      <x:c r="Q30" s="27" t="str">
        <x:v>meta-analysis</x:v>
      </x:c>
      <x:c r="R30" s="27" t="str">
        <x:v>People with IBD or source-defined population; details require full-text review</x:v>
      </x:c>
      <x:c r="S30" s="27" t="str">
        <x:v>Not reported in extracted metadata</x:v>
      </x:c>
      <x:c r="T30" s="27" t="str">
        <x:v>Automated metadata and passage extraction; full methods and tables require human review. Public full text available for deeper review.</x:v>
      </x:c>
      <x:c r="U30" s="27" t="str">
        <x:v>Region was not clearly North American; practical transferability requires local dietetic and healthcare context.</x:v>
      </x:c>
      <x:c r="V30" s="27" t="str"/>
      <x:c r="W30" s="27" t="str">
        <x:v>high</x:v>
      </x:c>
      <x:c r="X30" s="27" t="str">
        <x:v>ready_for_human_review</x:v>
      </x:c>
      <x:c r="Y30" s="27" t="str">
        <x:v>pending_human_review</x:v>
      </x:c>
      <x:c r="Z30" s="30" t="str"/>
      <x:c r="AA30" s="30" t="str"/>
      <x:c r="AB30" s="30" t="str"/>
    </x:row>
    <x:row r="31" ht="92" customHeight="1">
      <x:c r="A31" s="27" t="str">
        <x:v>CLM-046</x:v>
      </x:c>
      <x:c r="B31" s="27" t="str">
        <x:v>SRC-012</x:v>
      </x:c>
      <x:c r="C31" s="27" t="str"/>
      <x:c r="D31" s="27" t="str">
        <x:v>Efficacy and safety of probiotics in the induction and maintenance of inflammatory bowel disease remission: a systematic review and meta-analysis.</x:v>
      </x:c>
      <x:c r="E31" s="27" t="str">
        <x:v>probiotics_prebiotics</x:v>
      </x:c>
      <x:c r="F31" s="27" t="str">
        <x:v>ibd_general</x:v>
      </x:c>
      <x:c r="G31" s="27" t="str">
        <x:v>remission</x:v>
      </x:c>
      <x:c r="H31" s="27" t="str">
        <x:v>Probiotics have been widely used in the treatment of inflammatory bowel disease (IBD) due to their special conditioning effects on the intestinal flora, but their efficacy in inducing and maintaining remission is still controversial.</x:v>
      </x:c>
      <x:c r="I31" s="27" t="str">
        <x:v>The cited source reports that probiotics have been widely used in the treatment of inflammatory bowel disease (IBD) due to their special conditioning effects on the intestinal flora, but their efficacy in inducing and maintaining remission is still controversial. This is source-attributed information, not a treatment recommendation for an individual.</x:v>
      </x:c>
      <x:c r="J31" s="27" t="str">
        <x:v>The cited source reports that probiotics have been widely used in the treatment of inflammatory bowel disease (IBD) due to their special conditioning effects on the intestinal flora, but their efficacy in inducing and maintaining remission is still controversial. This is source-attributed information, not a treatment recommendation for an individual.</x:v>
      </x:c>
      <x:c r="K31" s="27" t="str">
        <x:v>Attribute the statement to the source and retain disease-state, population, evidence-strength, and clinician/dietitian context so it is not personalized treatment advice.</x:v>
      </x:c>
      <x:c r="L31" s="27" t="str">
        <x:v>Attribute the statement to the source and retain disease-state, population, evidence-strength, and clinician/dietitian context so it is not personalized treatment advice.</x:v>
      </x:c>
      <x:c r="M31" s="27" t="str">
        <x:v>Probiotics have been widely used in the treatment of inflammatory bowel disease (IBD) due to their special conditioning effects on the intestinal flora, but their efficacy in inducing and maintaining remission is still controversial.</x:v>
      </x:c>
      <x:c r="N31" s="27" t="str">
        <x:v>PubMed abstract — sentence 1</x:v>
      </x:c>
      <x:c r="O31" s="27" t="str">
        <x:v>meta_analysis</x:v>
      </x:c>
      <x:c r="P31" s="27" t="str"/>
      <x:c r="Q31" s="27" t="str">
        <x:v>meta-analysis</x:v>
      </x:c>
      <x:c r="R31" s="27" t="str">
        <x:v>People with IBD or source-defined population; details require full-text review</x:v>
      </x:c>
      <x:c r="S31" s="27" t="str">
        <x:v>777</x:v>
      </x:c>
      <x:c r="T31" s="27" t="str">
        <x:v>Automated metadata and passage extraction; full methods and tables require human review. Abstract-only record limits appraisal.</x:v>
      </x:c>
      <x:c r="U31" s="27" t="str">
        <x:v>Region was not clearly North American; practical transferability requires local dietetic and healthcare context.</x:v>
      </x:c>
      <x:c r="V31" s="27" t="str"/>
      <x:c r="W31" s="27" t="str">
        <x:v>moderate</x:v>
      </x:c>
      <x:c r="X31" s="27" t="str">
        <x:v>ready_for_human_review</x:v>
      </x:c>
      <x:c r="Y31" s="27" t="str">
        <x:v>pending_human_review</x:v>
      </x:c>
      <x:c r="Z31" s="30" t="str"/>
      <x:c r="AA31" s="30" t="str"/>
      <x:c r="AB31" s="30" t="str"/>
    </x:row>
    <x:row r="32" ht="92" customHeight="1">
      <x:c r="A32" s="27" t="str">
        <x:v>CLM-048</x:v>
      </x:c>
      <x:c r="B32" s="27" t="str">
        <x:v>SRC-012</x:v>
      </x:c>
      <x:c r="C32" s="27" t="str"/>
      <x:c r="D32" s="27" t="str">
        <x:v>Efficacy and safety of probiotics in the induction and maintenance of inflammatory bowel disease remission: a systematic review and meta-analysis.</x:v>
      </x:c>
      <x:c r="E32" s="27" t="str">
        <x:v>probiotics_prebiotics</x:v>
      </x:c>
      <x:c r="F32" s="27" t="str">
        <x:v>ulcerative_colitis; crohns_disease; ibd_general</x:v>
      </x:c>
      <x:c r="G32" s="27" t="str">
        <x:v>remission</x:v>
      </x:c>
      <x:c r="H32" s="27" t="str">
        <x:v>Meta-analysis showed that there was no significant difference between the clinical recurrence rate of probiotics in the CD remission phase and the control group [relative risk (RR): 0.80, 95% confidence interval (CI): 0.61-1.06, P=0.12].</x:v>
      </x:c>
      <x:c r="I32" s="27" t="str">
        <x:v>The cited source reports that meta-analysis showed that there was no significant difference between the clinical recurrence rate of probiotics in the CD remission phase and the control group [relative risk (RR): 0.80, 95% confidence interval (CI): 0.61-1.06, P=0.12]. This is population-level association evidence and does not establish causation or predict an individual's disease course. This is source-attributed information, not a treatment recommendation for an individual.</x:v>
      </x:c>
      <x:c r="J32" s="27" t="str">
        <x:v>The cited source reports that meta-analysis showed that there was no significant difference between the clinical recurrence rate of probiotics in the CD remission phase and the control group [relative risk (RR): 0.80, 95% confidence interval (CI): 0.61-1.06, P=0.12]. This is population-level association evidence and does not establish causation or predict an individual's disease course. This is source-attributed information, not a treatment recommendation for an individual.</x:v>
      </x:c>
      <x:c r="K32" s="27" t="str">
        <x:v>Keep the observational or incidence framing explicit; do not convert association into causal or individual disease-course advice.</x:v>
      </x:c>
      <x:c r="L32" s="27" t="str">
        <x:v>Keep the observational or incidence framing explicit; do not convert association into causal or individual disease-course advice.</x:v>
      </x:c>
      <x:c r="M32" s="27" t="str">
        <x:v>Meta-analysis showed that there was no significant difference between the clinical recurrence rate of probiotics in the CD remission phase and the control group [relative risk (RR): 0.80, 95% confidence interval (CI): 0.61-1.06, P=0.12].</x:v>
      </x:c>
      <x:c r="N32" s="27" t="str">
        <x:v>PubMed abstract — sentence 8</x:v>
      </x:c>
      <x:c r="O32" s="27" t="str">
        <x:v>meta_analysis</x:v>
      </x:c>
      <x:c r="P32" s="27" t="str"/>
      <x:c r="Q32" s="27" t="str">
        <x:v>meta-analysis</x:v>
      </x:c>
      <x:c r="R32" s="27" t="str">
        <x:v>People with IBD or source-defined population; details require full-text review</x:v>
      </x:c>
      <x:c r="S32" s="27" t="str">
        <x:v>777</x:v>
      </x:c>
      <x:c r="T32" s="27" t="str">
        <x:v>Automated metadata and passage extraction; full methods and tables require human review. Abstract-only record limits appraisal.</x:v>
      </x:c>
      <x:c r="U32" s="27" t="str">
        <x:v>Region was not clearly North American; practical transferability requires local dietetic and healthcare context.</x:v>
      </x:c>
      <x:c r="V32" s="27" t="str"/>
      <x:c r="W32" s="27" t="str">
        <x:v>moderate</x:v>
      </x:c>
      <x:c r="X32" s="27" t="str">
        <x:v>ready_for_human_review</x:v>
      </x:c>
      <x:c r="Y32" s="27" t="str">
        <x:v>pending_human_review</x:v>
      </x:c>
      <x:c r="Z32" s="30" t="str"/>
      <x:c r="AA32" s="30" t="str"/>
      <x:c r="AB32" s="30" t="str"/>
    </x:row>
    <x:row r="33" ht="92" customHeight="1">
      <x:c r="A33" s="27" t="str">
        <x:v>CLM-049</x:v>
      </x:c>
      <x:c r="B33" s="27" t="str">
        <x:v>SRC-013</x:v>
      </x:c>
      <x:c r="C33" s="27" t="str"/>
      <x:c r="D33" s="27" t="str">
        <x:v>Ultra-processed foods and food additives in gut health and disease.</x:v>
      </x:c>
      <x:c r="E33" s="27" t="str">
        <x:v>food_additives</x:v>
      </x:c>
      <x:c r="F33" s="27" t="str">
        <x:v>ibd_general</x:v>
      </x:c>
      <x:c r="G33" s="27" t="str">
        <x:v>general_or_unspecified</x:v>
      </x:c>
      <x:c r="H33" s="27" t="str">
        <x:v>For example, evidence shows that some emulsifiers, sweeteners, colours, and microparticles and nanoparticles have effects on a range of outcomes, including the gut microbiome, intestinal permeability and intestinal inflammation.</x:v>
      </x:c>
      <x:c r="I33" s="27" t="str">
        <x:v>The cited source reports that for example, evidence shows that some emulsifiers, sweeteners, colours, and microparticles and nanoparticles have effects on a range of outcomes, including the gut microbiome, intestinal permeability and intestinal inflammation. The specific measured marker or inflammatory outcome should remain explicit.</x:v>
      </x:c>
      <x:c r="J33" s="27" t="str">
        <x:v>The cited source reports that for example, evidence shows that some emulsifiers, sweeteners, colours, and microparticles and nanoparticles have effects on a range of outcomes, including the gut microbiome, intestinal permeability and intestinal inflammation. The specific measured marker or inflammatory outcome should remain explicit.</x:v>
      </x:c>
      <x:c r="K33" s="27" t="str">
        <x:v>State the measured outcome precisely and avoid treating symptom change, biomarkers, and inflammation as interchangeable.</x:v>
      </x:c>
      <x:c r="L33" s="27" t="str">
        <x:v>State the measured outcome precisely and avoid treating symptom change, biomarkers, and inflammation as interchangeable.</x:v>
      </x:c>
      <x:c r="M33" s="27" t="str">
        <x:v>For example, evidence shows that some emulsifiers, sweeteners, colours, and microparticles and nanoparticles have effects on a range of outcomes, including the gut microbiome, intestinal permeability and intestinal inflammation.</x:v>
      </x:c>
      <x:c r="N33" s="27" t="str">
        <x:v>PubMed abstract — sentence 4</x:v>
      </x:c>
      <x:c r="O33" s="27" t="str">
        <x:v>systematic_review</x:v>
      </x:c>
      <x:c r="P33" s="27" t="str"/>
      <x:c r="Q33" s="27" t="str">
        <x:v>review</x:v>
      </x:c>
      <x:c r="R33" s="27" t="str">
        <x:v>People with IBD or source-defined population; details require full-text review</x:v>
      </x:c>
      <x:c r="S33" s="27" t="str">
        <x:v>Not reported in extracted metadata</x:v>
      </x:c>
      <x:c r="T33" s="27" t="str">
        <x:v>Automated metadata and passage extraction; full methods and tables require human review. Public full text available for deeper review.</x:v>
      </x:c>
      <x:c r="U33" s="27" t="str">
        <x:v>Region was not clearly North American; practical transferability requires local dietetic and healthcare context.</x:v>
      </x:c>
      <x:c r="V33" s="27" t="str"/>
      <x:c r="W33" s="27" t="str">
        <x:v>high</x:v>
      </x:c>
      <x:c r="X33" s="27" t="str">
        <x:v>ready_for_human_review</x:v>
      </x:c>
      <x:c r="Y33" s="27" t="str">
        <x:v>pending_human_review</x:v>
      </x:c>
      <x:c r="Z33" s="30" t="str"/>
      <x:c r="AA33" s="30" t="str"/>
      <x:c r="AB33" s="30" t="str"/>
    </x:row>
    <x:row r="34" ht="92" customHeight="1">
      <x:c r="A34" s="27" t="str">
        <x:v>CLM-050</x:v>
      </x:c>
      <x:c r="B34" s="27" t="str">
        <x:v>SRC-013</x:v>
      </x:c>
      <x:c r="C34" s="27" t="str"/>
      <x:c r="D34" s="27" t="str">
        <x:v>Ultra-processed foods and food additives in gut health and disease.</x:v>
      </x:c>
      <x:c r="E34" s="27" t="str">
        <x:v>food_additives</x:v>
      </x:c>
      <x:c r="F34" s="27" t="str">
        <x:v>ibd_general</x:v>
      </x:c>
      <x:c r="G34" s="27" t="str">
        <x:v>general_or_unspecified</x:v>
      </x:c>
      <x:c r="H34" s="27" t="str">
        <x:v>Broadly speaking, evidence for the effect of UPFs on gut disease comes from observational epidemiological studies, whereas, by contrast, evidence for the effect of food additives comes largely from preclinical studies conducted in vitro or in animal models.</x:v>
      </x:c>
      <x:c r="I34" s="27" t="str"/>
      <x:c r="J34" s="27" t="str">
        <x:v>Broadly speaking, evidence for the effect of UPFs on gut disease comes from observational epidemiological studies, whereas, by contrast, evidence for the effect of food additives comes largely from preclinical studies conducted in vitro or in animal models.</x:v>
      </x:c>
      <x:c r="K34" s="27" t="str">
        <x:v>The statement is atomic, directly traceable, appropriately limited, and informational.</x:v>
      </x:c>
      <x:c r="L34" s="27" t="str">
        <x:v>The statement is atomic, directly traceable, appropriately limited, and informational.</x:v>
      </x:c>
      <x:c r="M34" s="27" t="str">
        <x:v>Broadly speaking, evidence for the effect of UPFs on gut disease comes from observational epidemiological studies, whereas, by contrast, evidence for the effect of food additives comes largely from preclinical studies conducted in vitro or in animal models.</x:v>
      </x:c>
      <x:c r="N34" s="27" t="str">
        <x:v>PubMed abstract — sentence 5</x:v>
      </x:c>
      <x:c r="O34" s="27" t="str">
        <x:v>systematic_review</x:v>
      </x:c>
      <x:c r="P34" s="27" t="str"/>
      <x:c r="Q34" s="27" t="str">
        <x:v>review</x:v>
      </x:c>
      <x:c r="R34" s="27" t="str">
        <x:v>People with IBD or source-defined population; details require full-text review</x:v>
      </x:c>
      <x:c r="S34" s="27" t="str">
        <x:v>Not reported in extracted metadata</x:v>
      </x:c>
      <x:c r="T34" s="27" t="str">
        <x:v>Automated metadata and passage extraction; full methods and tables require human review. Public full text available for deeper review.</x:v>
      </x:c>
      <x:c r="U34" s="27" t="str">
        <x:v>Region was not clearly North American; practical transferability requires local dietetic and healthcare context.</x:v>
      </x:c>
      <x:c r="V34" s="27" t="str"/>
      <x:c r="W34" s="27" t="str">
        <x:v>high</x:v>
      </x:c>
      <x:c r="X34" s="27" t="str">
        <x:v>ready_for_human_review</x:v>
      </x:c>
      <x:c r="Y34" s="27" t="str">
        <x:v>pending_human_review</x:v>
      </x:c>
      <x:c r="Z34" s="30" t="str"/>
      <x:c r="AA34" s="30" t="str"/>
      <x:c r="AB34" s="30" t="str"/>
    </x:row>
    <x:row r="35" ht="92" customHeight="1">
      <x:c r="A35" s="27" t="str">
        <x:v>CLM-051</x:v>
      </x:c>
      <x:c r="B35" s="27" t="str">
        <x:v>SRC-013</x:v>
      </x:c>
      <x:c r="C35" s="27" t="str"/>
      <x:c r="D35" s="27" t="str">
        <x:v>Ultra-processed foods and food additives in gut health and disease.</x:v>
      </x:c>
      <x:c r="E35" s="27" t="str">
        <x:v>core_condition_knowledge</x:v>
      </x:c>
      <x:c r="F35" s="27" t="str">
        <x:v>ibd_general</x:v>
      </x:c>
      <x:c r="G35" s="27" t="str">
        <x:v>general_or_unspecified</x:v>
      </x:c>
      <x:c r="H35" s="27" t="str">
        <x:v>There is increasing evidence of an association between diets rich in UPFs and gut disease, including inflammatory bowel disease, colorectal cancer and irritable bowel syndrome.</x:v>
      </x:c>
      <x:c r="I35" s="27" t="str">
        <x:v>The cited source reports that there is increasing evidence of an association between diets rich in UPFs and gut disease, including inflammatory bowel disease, colorectal cancer and irritable bowel syndrome. The specific measured marker or inflammatory outcome should remain explicit.</x:v>
      </x:c>
      <x:c r="J35" s="27" t="str">
        <x:v>The cited source reports that there is increasing evidence of an association between diets rich in UPFs and gut disease, including inflammatory bowel disease, colorectal cancer and irritable bowel syndrome. The specific measured marker or inflammatory outcome should remain explicit.</x:v>
      </x:c>
      <x:c r="K35" s="27" t="str">
        <x:v>State the measured outcome precisely and avoid treating symptom change, biomarkers, and inflammation as interchangeable.</x:v>
      </x:c>
      <x:c r="L35" s="27" t="str">
        <x:v>State the measured outcome precisely and avoid treating symptom change, biomarkers, and inflammation as interchangeable.</x:v>
      </x:c>
      <x:c r="M35" s="27" t="str">
        <x:v>There is increasing evidence of an association between diets rich in UPFs and gut disease, including inflammatory bowel disease, colorectal cancer and irritable bowel syndrome.</x:v>
      </x:c>
      <x:c r="N35" s="27" t="str">
        <x:v>PubMed abstract — sentence 2</x:v>
      </x:c>
      <x:c r="O35" s="27" t="str">
        <x:v>systematic_review</x:v>
      </x:c>
      <x:c r="P35" s="27" t="str"/>
      <x:c r="Q35" s="27" t="str">
        <x:v>review</x:v>
      </x:c>
      <x:c r="R35" s="27" t="str">
        <x:v>People with IBD or source-defined population; details require full-text review</x:v>
      </x:c>
      <x:c r="S35" s="27" t="str">
        <x:v>Not reported in extracted metadata</x:v>
      </x:c>
      <x:c r="T35" s="27" t="str">
        <x:v>Automated metadata and passage extraction; full methods and tables require human review. Public full text available for deeper review.</x:v>
      </x:c>
      <x:c r="U35" s="27" t="str">
        <x:v>Region was not clearly North American; practical transferability requires local dietetic and healthcare context.</x:v>
      </x:c>
      <x:c r="V35" s="27" t="str"/>
      <x:c r="W35" s="27" t="str">
        <x:v>high</x:v>
      </x:c>
      <x:c r="X35" s="27" t="str">
        <x:v>ready_for_human_review</x:v>
      </x:c>
      <x:c r="Y35" s="27" t="str">
        <x:v>pending_human_review</x:v>
      </x:c>
      <x:c r="Z35" s="30" t="str"/>
      <x:c r="AA35" s="30" t="str"/>
      <x:c r="AB35" s="30" t="str"/>
    </x:row>
    <x:row r="36" ht="92" customHeight="1">
      <x:c r="A36" s="27" t="str">
        <x:v>CLM-053</x:v>
      </x:c>
      <x:c r="B36" s="27" t="str">
        <x:v>SRC-014</x:v>
      </x:c>
      <x:c r="C36" s="27" t="str"/>
      <x:c r="D36" s="27" t="str">
        <x:v>Physical Activity is Associated with a Decreased Risk of Developing Inflammatory Bowel Disease: A Systematic Review and Meta-analysis.</x:v>
      </x:c>
      <x:c r="E36" s="27" t="str">
        <x:v>physical_activity</x:v>
      </x:c>
      <x:c r="F36" s="27" t="str">
        <x:v>ibd_general</x:v>
      </x:c>
      <x:c r="G36" s="27" t="str">
        <x:v>general_or_unspecified</x:v>
      </x:c>
      <x:c r="H36" s="27" t="str">
        <x:v>CONCLUSION: This meta-analysis suggests that physical activity is inversely associated with the risk of developing IBD, more so in CD than in UC.</x:v>
      </x:c>
      <x:c r="I36" s="27" t="str">
        <x:v>The cited source reports that this meta-analysis suggests that physical activity is inversely associated with the risk of developing IBD, more so in CD than in UC. This is population-level association evidence and does not establish causation or predict an individual's disease course.</x:v>
      </x:c>
      <x:c r="J36" s="27" t="str">
        <x:v>The cited source reports that this meta-analysis suggests that physical activity is inversely associated with the risk of developing IBD, more so in CD than in UC. This is population-level association evidence and does not establish causation or predict an individual's disease course.</x:v>
      </x:c>
      <x:c r="K36" s="27" t="str">
        <x:v>Keep the observational or incidence framing explicit; do not convert association into causal or individual disease-course advice.</x:v>
      </x:c>
      <x:c r="L36" s="27" t="str">
        <x:v>Keep the observational or incidence framing explicit; do not convert association into causal or individual disease-course advice.</x:v>
      </x:c>
      <x:c r="M36" s="27" t="str">
        <x:v>CONCLUSION: This meta-analysis suggests that physical activity is inversely associated with the risk of developing IBD, more so in CD than in UC.</x:v>
      </x:c>
      <x:c r="N36" s="27" t="str">
        <x:v>PubMed abstract — sentence 12</x:v>
      </x:c>
      <x:c r="O36" s="27" t="str">
        <x:v>meta_analysis</x:v>
      </x:c>
      <x:c r="P36" s="27" t="str"/>
      <x:c r="Q36" s="27" t="str">
        <x:v>meta-analysis</x:v>
      </x:c>
      <x:c r="R36" s="27" t="str">
        <x:v>People with IBD or source-defined population; details require full-text review</x:v>
      </x:c>
      <x:c r="S36" s="27" t="str">
        <x:v>992</x:v>
      </x:c>
      <x:c r="T36" s="27" t="str">
        <x:v>Automated metadata and passage extraction; full methods and tables require human review. Abstract-only record limits appraisal.</x:v>
      </x:c>
      <x:c r="U36" s="27" t="str">
        <x:v>Region was not clearly North American; practical transferability requires local dietetic and healthcare context.</x:v>
      </x:c>
      <x:c r="V36" s="27" t="str"/>
      <x:c r="W36" s="27" t="str">
        <x:v>moderate</x:v>
      </x:c>
      <x:c r="X36" s="27" t="str">
        <x:v>ready_for_human_review</x:v>
      </x:c>
      <x:c r="Y36" s="27" t="str">
        <x:v>pending_human_review</x:v>
      </x:c>
      <x:c r="Z36" s="30" t="str"/>
      <x:c r="AA36" s="30" t="str"/>
      <x:c r="AB36" s="30" t="str"/>
    </x:row>
    <x:row r="37" ht="92" customHeight="1">
      <x:c r="A37" s="27" t="str">
        <x:v>CLM-061</x:v>
      </x:c>
      <x:c r="B37" s="27" t="str">
        <x:v>SRC-016</x:v>
      </x:c>
      <x:c r="C37" s="27" t="str"/>
      <x:c r="D37" s="27" t="str">
        <x:v>A Randomized Trial Comparing the Specific Carbohydrate Diet to a Mediterranean Diet in Adults With Crohn's Disease.</x:v>
      </x:c>
      <x:c r="E37" s="27" t="str">
        <x:v>symptoms_vs_inflammation</x:v>
      </x:c>
      <x:c r="F37" s="27" t="str">
        <x:v>crohns_disease</x:v>
      </x:c>
      <x:c r="G37" s="27" t="str">
        <x:v>remission</x:v>
      </x:c>
      <x:c r="H37" s="27" t="str">
        <x:v>CONCLUSIONS: The SCD was not superior to the MD to achieve symptomatic remission, FC response, and CRP response.</x:v>
      </x:c>
      <x:c r="I37" s="27" t="str">
        <x:v>The cited source reports that the SCD was not superior to the MD to achieve symptomatic remission, FC response, and CRP response. This is source-attributed information, not a treatment recommendation for an individual. Symptom findings do not by themselves show reduced intestinal inflammation.</x:v>
      </x:c>
      <x:c r="J37" s="27" t="str">
        <x:v>The cited source reports that the SCD was not superior to the MD to achieve symptomatic remission, FC response, and CRP response. This is source-attributed information, not a treatment recommendation for an individual. Symptom findings do not by themselves show reduced intestinal inflammation.</x:v>
      </x:c>
      <x:c r="K37" s="27" t="str">
        <x:v>State the measured outcome precisely and avoid treating symptom change, biomarkers, and inflammation as interchangeable.</x:v>
      </x:c>
      <x:c r="L37" s="27" t="str">
        <x:v>State the measured outcome precisely and avoid treating symptom change, biomarkers, and inflammation as interchangeable.</x:v>
      </x:c>
      <x:c r="M37" s="27" t="str">
        <x:v>CONCLUSIONS: The SCD was not superior to the MD to achieve symptomatic remission, FC response, and CRP response.</x:v>
      </x:c>
      <x:c r="N37" s="27" t="str">
        <x:v>PubMed abstract — sentence 11</x:v>
      </x:c>
      <x:c r="O37" s="27" t="str">
        <x:v>randomized_trial</x:v>
      </x:c>
      <x:c r="P37" s="27" t="str"/>
      <x:c r="Q37" s="27" t="str">
        <x:v>randomized controlled trial</x:v>
      </x:c>
      <x:c r="R37" s="27" t="str">
        <x:v>Adults with IBD, as specified</x:v>
      </x:c>
      <x:c r="S37" s="27" t="str">
        <x:v>194</x:v>
      </x:c>
      <x:c r="T37" s="27" t="str">
        <x:v>Automated metadata and passage extraction; full methods and tables require human review. Public full text available for deeper review.</x:v>
      </x:c>
      <x:c r="U37" s="27" t="str">
        <x:v>Region was not clearly North American; practical transferability requires local dietetic and healthcare context.</x:v>
      </x:c>
      <x:c r="V37" s="27" t="str"/>
      <x:c r="W37" s="27" t="str">
        <x:v>high</x:v>
      </x:c>
      <x:c r="X37" s="27" t="str">
        <x:v>ready_for_human_review</x:v>
      </x:c>
      <x:c r="Y37" s="27" t="str">
        <x:v>pending_human_review</x:v>
      </x:c>
      <x:c r="Z37" s="30" t="str"/>
      <x:c r="AA37" s="30" t="str"/>
      <x:c r="AB37" s="30" t="str"/>
    </x:row>
    <x:row r="38" ht="92" customHeight="1">
      <x:c r="A38" s="27" t="str">
        <x:v>CLM-062</x:v>
      </x:c>
      <x:c r="B38" s="27" t="str">
        <x:v>SRC-016</x:v>
      </x:c>
      <x:c r="C38" s="27" t="str"/>
      <x:c r="D38" s="27" t="str">
        <x:v>A Randomized Trial Comparing the Specific Carbohydrate Diet to a Mediterranean Diet in Adults With Crohn's Disease.</x:v>
      </x:c>
      <x:c r="E38" s="27" t="str">
        <x:v>symptoms_vs_inflammation</x:v>
      </x:c>
      <x:c r="F38" s="27" t="str">
        <x:v>crohns_disease</x:v>
      </x:c>
      <x:c r="G38" s="27" t="str">
        <x:v>general_or_unspecified</x:v>
      </x:c>
      <x:c r="H38" s="27" t="str">
        <x:v>Given these results, the greater ease of following the MD and other health benefits associated with the MD, the MD may be preferred to the SCD for most patients with CD with mild to moderate symptoms.</x:v>
      </x:c>
      <x:c r="I38" s="27" t="str">
        <x:v>The cited source reports that given these results, the greater ease of following the MD and other health benefits associated with the MD, the MD may be preferred to the SCD for most patients with CD with mild to moderate symptoms. This is population-level association evidence and does not establish causation or predict an individual's disease course. This is source-attributed information, not a treatment recommendation for an individual. Symptom findings do not by themselves show reduced intestinal inflammation.</x:v>
      </x:c>
      <x:c r="J38" s="27" t="str">
        <x:v>The cited source reports that given these results, the greater ease of following the MD and other health benefits associated with the MD, the MD may be preferred to the SCD for most patients with CD with mild to moderate symptoms. This is population-level association evidence and does not establish causation or predict an individual's disease course. This is source-attributed information, not a treatment recommendation for an individual. Symptom findings do not by themselves show reduced intestinal inflammation.</x:v>
      </x:c>
      <x:c r="K38" s="27" t="str">
        <x:v>Keep the observational or incidence framing explicit; do not convert association into causal or individual disease-course advice.</x:v>
      </x:c>
      <x:c r="L38" s="27" t="str">
        <x:v>Keep the observational or incidence framing explicit; do not convert association into causal or individual disease-course advice.</x:v>
      </x:c>
      <x:c r="M38" s="27" t="str">
        <x:v>Given these results, the greater ease of following the MD and other health benefits associated with the MD, the MD may be preferred to the SCD for most patients with CD with mild to moderate symptoms.</x:v>
      </x:c>
      <x:c r="N38" s="27" t="str">
        <x:v>PubMed abstract — sentence 13</x:v>
      </x:c>
      <x:c r="O38" s="27" t="str">
        <x:v>randomized_trial</x:v>
      </x:c>
      <x:c r="P38" s="27" t="str"/>
      <x:c r="Q38" s="27" t="str">
        <x:v>randomized controlled trial</x:v>
      </x:c>
      <x:c r="R38" s="27" t="str">
        <x:v>Adults with IBD, as specified</x:v>
      </x:c>
      <x:c r="S38" s="27" t="str">
        <x:v>194</x:v>
      </x:c>
      <x:c r="T38" s="27" t="str">
        <x:v>Automated metadata and passage extraction; full methods and tables require human review. Public full text available for deeper review.</x:v>
      </x:c>
      <x:c r="U38" s="27" t="str">
        <x:v>Region was not clearly North American; practical transferability requires local dietetic and healthcare context.</x:v>
      </x:c>
      <x:c r="V38" s="27" t="str"/>
      <x:c r="W38" s="27" t="str">
        <x:v>high</x:v>
      </x:c>
      <x:c r="X38" s="27" t="str">
        <x:v>ready_for_human_review</x:v>
      </x:c>
      <x:c r="Y38" s="27" t="str">
        <x:v>pending_human_review</x:v>
      </x:c>
      <x:c r="Z38" s="30" t="str"/>
      <x:c r="AA38" s="30" t="str"/>
      <x:c r="AB38" s="30" t="str"/>
    </x:row>
    <x:row r="39" ht="92" customHeight="1">
      <x:c r="A39" s="27" t="str">
        <x:v>CLM-066</x:v>
      </x:c>
      <x:c r="B39" s="27" t="str">
        <x:v>SRC-017</x:v>
      </x:c>
      <x:c r="C39" s="27" t="str"/>
      <x:c r="D39" s="27" t="str">
        <x:v>Crohn's Disease Exclusion Diet Plus Partial Enteral Nutrition Induces Sustained Remission in a Randomized Controlled Trial.</x:v>
      </x:c>
      <x:c r="E39" s="27" t="str">
        <x:v>symptoms_vs_inflammation</x:v>
      </x:c>
      <x:c r="F39" s="27" t="str">
        <x:v>crohns_disease</x:v>
      </x:c>
      <x:c r="G39" s="27" t="str">
        <x:v>remission</x:v>
      </x:c>
      <x:c r="H39" s="27" t="str">
        <x:v>In children given CDED plus PEN, corticosteroid-free remission was associated with sustained reductions in inflammation (based on serum level of C-reactive protein and fecal level of calprotectin) and fecal Proteobacteria.</x:v>
      </x:c>
      <x:c r="I39" s="27" t="str">
        <x:v>The cited source reports that in children given CDED plus PEN, corticosteroid-free remission was associated with sustained reductions in inflammation (based on serum level of C-reactive protein and fecal level of calprotectin) and fecal Proteobacteria. This is population-level association evidence and does not establish causation or predict an individual's disease course. This is source-attributed information, not a treatment recommendation for an individual. The specific measured marker or inflammatory outcome should remain explicit.</x:v>
      </x:c>
      <x:c r="J39" s="27" t="str">
        <x:v>The cited source reports that in children given CDED plus PEN, corticosteroid-free remission was associated with sustained reductions in inflammation (based on serum level of C-reactive protein and fecal level of calprotectin) and fecal Proteobacteria. This is population-level association evidence and does not establish causation or predict an individual's disease course. This is source-attributed information, not a treatment recommendation for an individual. The specific measured marker or inflammatory outcome should remain explicit.</x:v>
      </x:c>
      <x:c r="K39" s="27" t="str">
        <x:v>Keep the observational or incidence framing explicit; do not convert association into causal or individual disease-course advice.</x:v>
      </x:c>
      <x:c r="L39" s="27" t="str">
        <x:v>Keep the observational or incidence framing explicit; do not convert association into causal or individual disease-course advice.</x:v>
      </x:c>
      <x:c r="M39" s="27" t="str">
        <x:v>In children given CDED plus PEN, corticosteroid-free remission was associated with sustained reductions in inflammation (based on serum level of C-reactive protein and fecal level of calprotectin) and fecal Proteobacteria.</x:v>
      </x:c>
      <x:c r="N39" s="27" t="str">
        <x:v>PubMed abstract — sentence 12</x:v>
      </x:c>
      <x:c r="O39" s="27" t="str">
        <x:v>randomized_trial</x:v>
      </x:c>
      <x:c r="P39" s="27" t="str"/>
      <x:c r="Q39" s="27" t="str">
        <x:v>randomized controlled trial</x:v>
      </x:c>
      <x:c r="R39" s="27" t="str">
        <x:v>Children or adolescents with IBD, as specified</x:v>
      </x:c>
      <x:c r="S39" s="27" t="str">
        <x:v>40</x:v>
      </x:c>
      <x:c r="T39" s="27" t="str">
        <x:v>Automated metadata and passage extraction; full methods and tables require human review. Abstract-only record limits appraisal.</x:v>
      </x:c>
      <x:c r="U39" s="27" t="str">
        <x:v>Region was not clearly North American; practical transferability requires local dietetic and healthcare context.</x:v>
      </x:c>
      <x:c r="V39" s="27" t="str"/>
      <x:c r="W39" s="27" t="str">
        <x:v>moderate</x:v>
      </x:c>
      <x:c r="X39" s="27" t="str">
        <x:v>ready_for_human_review</x:v>
      </x:c>
      <x:c r="Y39" s="27" t="str">
        <x:v>pending_human_review</x:v>
      </x:c>
      <x:c r="Z39" s="30" t="str"/>
      <x:c r="AA39" s="30" t="str"/>
      <x:c r="AB39" s="30" t="str"/>
    </x:row>
    <x:row r="40" ht="92" customHeight="1">
      <x:c r="A40" s="27" t="str">
        <x:v>CLM-068</x:v>
      </x:c>
      <x:c r="B40" s="27" t="str">
        <x:v>SRC-017</x:v>
      </x:c>
      <x:c r="C40" s="27" t="str"/>
      <x:c r="D40" s="27" t="str">
        <x:v>Crohn's Disease Exclusion Diet Plus Partial Enteral Nutrition Induces Sustained Remission in a Randomized Controlled Trial.</x:v>
      </x:c>
      <x:c r="E40" s="27" t="str">
        <x:v>core_condition_knowledge</x:v>
      </x:c>
      <x:c r="F40" s="27" t="str">
        <x:v>crohns_disease</x:v>
      </x:c>
      <x:c r="G40" s="27" t="str">
        <x:v>general_or_unspecified</x:v>
      </x:c>
      <x:c r="H40" s="27" t="str">
        <x:v>CONCLUSION: CDED plus PEN was better tolerated than EEN in children with mild to moderate CD.</x:v>
      </x:c>
      <x:c r="I40" s="27" t="str">
        <x:v>The cited source reports that cDED plus PEN was better tolerated than EEN in children with mild to moderate CD.</x:v>
      </x:c>
      <x:c r="J40" s="27" t="str">
        <x:v>The cited source reports that cDED plus PEN was better tolerated than EEN in children with mild to moderate CD.</x:v>
      </x:c>
      <x:c r="K40" s="27" t="str">
        <x:v>State the measured outcome precisely and avoid treating symptom change, biomarkers, and inflammation as interchangeable.</x:v>
      </x:c>
      <x:c r="L40" s="27" t="str">
        <x:v>State the measured outcome precisely and avoid treating symptom change, biomarkers, and inflammation as interchangeable.</x:v>
      </x:c>
      <x:c r="M40" s="27" t="str">
        <x:v>CONCLUSION: CDED plus PEN was better tolerated than EEN in children with mild to moderate CD.</x:v>
      </x:c>
      <x:c r="N40" s="27" t="str">
        <x:v>PubMed abstract — sentence 13</x:v>
      </x:c>
      <x:c r="O40" s="27" t="str">
        <x:v>randomized_trial</x:v>
      </x:c>
      <x:c r="P40" s="27" t="str"/>
      <x:c r="Q40" s="27" t="str">
        <x:v>randomized controlled trial</x:v>
      </x:c>
      <x:c r="R40" s="27" t="str">
        <x:v>Children or adolescents with IBD, as specified</x:v>
      </x:c>
      <x:c r="S40" s="27" t="str">
        <x:v>40</x:v>
      </x:c>
      <x:c r="T40" s="27" t="str">
        <x:v>Automated metadata and passage extraction; full methods and tables require human review. Abstract-only record limits appraisal.</x:v>
      </x:c>
      <x:c r="U40" s="27" t="str">
        <x:v>Region was not clearly North American; practical transferability requires local dietetic and healthcare context.</x:v>
      </x:c>
      <x:c r="V40" s="27" t="str"/>
      <x:c r="W40" s="27" t="str">
        <x:v>moderate</x:v>
      </x:c>
      <x:c r="X40" s="27" t="str">
        <x:v>ready_for_human_review</x:v>
      </x:c>
      <x:c r="Y40" s="27" t="str">
        <x:v>pending_human_review</x:v>
      </x:c>
      <x:c r="Z40" s="30" t="str"/>
      <x:c r="AA40" s="30" t="str"/>
      <x:c r="AB40" s="30" t="str"/>
    </x:row>
    <x:row r="41" ht="92" customHeight="1">
      <x:c r="A41" s="27" t="str">
        <x:v>CLM-071</x:v>
      </x:c>
      <x:c r="B41" s="27" t="str">
        <x:v>SRC-018</x:v>
      </x:c>
      <x:c r="C41" s="27" t="str"/>
      <x:c r="D41" s="27" t="str">
        <x:v>A Diet Low in Red and Processed Meat Does Not Reduce Rate of Crohn's Disease Flares.</x:v>
      </x:c>
      <x:c r="E41" s="27" t="str">
        <x:v>red_processed_meat</x:v>
      </x:c>
      <x:c r="F41" s="27" t="str">
        <x:v>crohns_disease; ibd_general</x:v>
      </x:c>
      <x:c r="G41" s="27" t="str">
        <x:v>remission</x:v>
      </x:c>
      <x:c r="H41" s="27" t="str">
        <x:v>CONCLUSIONS: In an analysis of data from the FACES trial, we found that among patients with CD in remission, level of red and processed meat consumption was not associated with time to symptomatic relapse.</x:v>
      </x:c>
      <x:c r="I41" s="27" t="str">
        <x:v>The cited source reports that in an analysis of data from the FACES trial, we found that among patients with CD in remission, level of red and processed meat consumption was not associated with time to symptomatic relapse. This is population-level association evidence and does not establish causation or predict an individual's disease course. This is source-attributed information, not a treatment recommendation for an individual.</x:v>
      </x:c>
      <x:c r="J41" s="27" t="str">
        <x:v>The cited source reports that in an analysis of data from the FACES trial, we found that among patients with CD in remission, level of red and processed meat consumption was not associated with time to symptomatic relapse. This is population-level association evidence and does not establish causation or predict an individual's disease course. This is source-attributed information, not a treatment recommendation for an individual.</x:v>
      </x:c>
      <x:c r="K41" s="27" t="str">
        <x:v>Keep the observational or incidence framing explicit; do not convert association into causal or individual disease-course advice.</x:v>
      </x:c>
      <x:c r="L41" s="27" t="str">
        <x:v>Keep the observational or incidence framing explicit; do not convert association into causal or individual disease-course advice.</x:v>
      </x:c>
      <x:c r="M41" s="27" t="str">
        <x:v>CONCLUSIONS: In an analysis of data from the FACES trial, we found that among patients with CD in remission, level of red and processed meat consumption was not associated with time to symptomatic relapse.</x:v>
      </x:c>
      <x:c r="N41" s="27" t="str">
        <x:v>PubMed abstract — sentence 10</x:v>
      </x:c>
      <x:c r="O41" s="27" t="str">
        <x:v>randomized_trial</x:v>
      </x:c>
      <x:c r="P41" s="27" t="str"/>
      <x:c r="Q41" s="27" t="str">
        <x:v>randomized controlled trial</x:v>
      </x:c>
      <x:c r="R41" s="27" t="str">
        <x:v>Adults with IBD, as specified</x:v>
      </x:c>
      <x:c r="S41" s="27" t="str">
        <x:v>118</x:v>
      </x:c>
      <x:c r="T41" s="27" t="str">
        <x:v>Automated metadata and passage extraction; full methods and tables require human review. Public full text available for deeper review.</x:v>
      </x:c>
      <x:c r="U41" s="27" t="str">
        <x:v>Region was not clearly North American; practical transferability requires local dietetic and healthcare context.</x:v>
      </x:c>
      <x:c r="V41" s="27" t="str"/>
      <x:c r="W41" s="27" t="str">
        <x:v>high</x:v>
      </x:c>
      <x:c r="X41" s="27" t="str">
        <x:v>ready_for_human_review</x:v>
      </x:c>
      <x:c r="Y41" s="27" t="str">
        <x:v>pending_human_review</x:v>
      </x:c>
      <x:c r="Z41" s="30" t="str"/>
      <x:c r="AA41" s="30" t="str"/>
      <x:c r="AB41" s="30" t="str"/>
    </x:row>
    <x:row r="42" ht="92" customHeight="1">
      <x:c r="A42" s="27" t="str">
        <x:v>CLM-073</x:v>
      </x:c>
      <x:c r="B42" s="27" t="str">
        <x:v>SRC-019</x:v>
      </x:c>
      <x:c r="C42" s="27" t="str"/>
      <x:c r="D42" s="27" t="str">
        <x:v>A randomized, 6-wk trial of a low FODMAP diet in patients with inflammatory bowel disease.</x:v>
      </x:c>
      <x:c r="E42" s="27" t="str">
        <x:v>stress_quality_of_life</x:v>
      </x:c>
      <x:c r="F42" s="27" t="str">
        <x:v>ibd_general</x:v>
      </x:c>
      <x:c r="G42" s="27" t="str">
        <x:v>remission</x:v>
      </x:c>
      <x:c r="H42" s="27" t="str">
        <x:v>CONCLUSIONS: A short-term, LFD is safe for patients with IBD, and is associated with an amelioration of fecal inflammatory markers and quality of life even in patients with mainly quiescent disease.</x:v>
      </x:c>
      <x:c r="I42" s="27" t="str">
        <x:v>The cited source reports that a short-term, LFD is safe for patients with IBD, and is associated with an amelioration of fecal inflammatory markers and quality of life even in patients with mainly quiescent disease. This is population-level association evidence and does not establish causation or predict an individual's disease course.</x:v>
      </x:c>
      <x:c r="J42" s="27" t="str">
        <x:v>The cited source reports that a short-term, LFD is safe for patients with IBD, and is associated with an amelioration of fecal inflammatory markers and quality of life even in patients with mainly quiescent disease. This is population-level association evidence and does not establish causation or predict an individual's disease course.</x:v>
      </x:c>
      <x:c r="K42" s="27" t="str">
        <x:v>Keep the observational or incidence framing explicit; do not convert association into causal or individual disease-course advice.</x:v>
      </x:c>
      <x:c r="L42" s="27" t="str">
        <x:v>Keep the observational or incidence framing explicit; do not convert association into causal or individual disease-course advice.</x:v>
      </x:c>
      <x:c r="M42" s="27" t="str">
        <x:v>CONCLUSIONS: A short-term, LFD is safe for patients with IBD, and is associated with an amelioration of fecal inflammatory markers and quality of life even in patients with mainly quiescent disease.</x:v>
      </x:c>
      <x:c r="N42" s="27" t="str">
        <x:v>PubMed abstract — sentence 8</x:v>
      </x:c>
      <x:c r="O42" s="27" t="str">
        <x:v>randomized_trial</x:v>
      </x:c>
      <x:c r="P42" s="27" t="str"/>
      <x:c r="Q42" s="27" t="str">
        <x:v>randomized controlled trial</x:v>
      </x:c>
      <x:c r="R42" s="27" t="str">
        <x:v>People with IBD or source-defined population; details require full-text review</x:v>
      </x:c>
      <x:c r="S42" s="27" t="str">
        <x:v>Not reported in extracted metadata</x:v>
      </x:c>
      <x:c r="T42" s="27" t="str">
        <x:v>Automated metadata and passage extraction; full methods and tables require human review. Abstract-only record limits appraisal.</x:v>
      </x:c>
      <x:c r="U42" s="27" t="str">
        <x:v>Region was not clearly North American; practical transferability requires local dietetic and healthcare context.</x:v>
      </x:c>
      <x:c r="V42" s="27" t="str"/>
      <x:c r="W42" s="27" t="str">
        <x:v>moderate</x:v>
      </x:c>
      <x:c r="X42" s="27" t="str">
        <x:v>ready_for_human_review</x:v>
      </x:c>
      <x:c r="Y42" s="27" t="str">
        <x:v>pending_human_review</x:v>
      </x:c>
      <x:c r="Z42" s="30" t="str"/>
      <x:c r="AA42" s="30" t="str"/>
      <x:c r="AB42" s="30" t="str"/>
    </x:row>
    <x:row r="43" ht="92" customHeight="1">
      <x:c r="A43" s="27" t="str">
        <x:v>CLM-074</x:v>
      </x:c>
      <x:c r="B43" s="27" t="str">
        <x:v>SRC-019</x:v>
      </x:c>
      <x:c r="C43" s="27" t="str"/>
      <x:c r="D43" s="27" t="str">
        <x:v>A randomized, 6-wk trial of a low FODMAP diet in patients with inflammatory bowel disease.</x:v>
      </x:c>
      <x:c r="E43" s="27" t="str">
        <x:v>core_condition_knowledge</x:v>
      </x:c>
      <x:c r="F43" s="27" t="str">
        <x:v>ibd_general</x:v>
      </x:c>
      <x:c r="G43" s="27" t="str">
        <x:v>general_or_unspecified</x:v>
      </x:c>
      <x:c r="H43" s="27" t="str">
        <x:v>RESULTS: After the 6-wk dietary intervention, median HBi decreased in the LFD (4; IQR, 3-5 versus 3; IQR, 2-3; P = 0.024) but not in the SD (3; IQR, 3-3 versus 3; IQR, 2-4), whereas Mayo scores were numerically decreased in the LFD group and unmodified in the SD group.</x:v>
      </x:c>
      <x:c r="I43" s="27" t="str">
        <x:v>The cited source reports that after the 6-wk dietary intervention, median HBi decreased in the LFD (4; IQR, 3-5 versus 3; IQR, 2-3; P = 0.024) but not in the SD (3; IQR, 3-3 versus 3; IQR, 2-4), whereas Mayo scores were numerically decreased in the LFD group and unmodified in the SD group. This is source-attributed information, not a treatment recommendation for an individual.</x:v>
      </x:c>
      <x:c r="J43" s="27" t="str">
        <x:v>The cited source reports that after the 6-wk dietary intervention, median HBi decreased in the LFD (4; IQR, 3-5 versus 3; IQR, 2-3; P = 0.024) but not in the SD (3; IQR, 3-3 versus 3; IQR, 2-4), whereas Mayo scores were numerically decreased in the LFD group and unmodified in the SD group. This is source-attributed information, not a treatment recommendation for an individual.</x:v>
      </x:c>
      <x:c r="K43" s="27" t="str">
        <x:v>State the measured outcome precisely and avoid treating symptom change, biomarkers, and inflammation as interchangeable.</x:v>
      </x:c>
      <x:c r="L43" s="27" t="str">
        <x:v>State the measured outcome precisely and avoid treating symptom change, biomarkers, and inflammation as interchangeable.</x:v>
      </x:c>
      <x:c r="M43" s="27" t="str">
        <x:v>RESULTS: After the 6-wk dietary intervention, median HBi decreased in the LFD (4; IQR, 3-5 versus 3; IQR, 2-3; P = 0.024) but not in the SD (3; IQR, 3-3 versus 3; IQR, 2-4), whereas Mayo scores were numerically decreased in the LFD group and unmodified in the SD group.</x:v>
      </x:c>
      <x:c r="N43" s="27" t="str">
        <x:v>PubMed abstract — sentence 5</x:v>
      </x:c>
      <x:c r="O43" s="27" t="str">
        <x:v>randomized_trial</x:v>
      </x:c>
      <x:c r="P43" s="27" t="str"/>
      <x:c r="Q43" s="27" t="str">
        <x:v>randomized controlled trial</x:v>
      </x:c>
      <x:c r="R43" s="27" t="str">
        <x:v>People with IBD or source-defined population; details require full-text review</x:v>
      </x:c>
      <x:c r="S43" s="27" t="str">
        <x:v>Not reported in extracted metadata</x:v>
      </x:c>
      <x:c r="T43" s="27" t="str">
        <x:v>Automated metadata and passage extraction; full methods and tables require human review. Abstract-only record limits appraisal.</x:v>
      </x:c>
      <x:c r="U43" s="27" t="str">
        <x:v>Region was not clearly North American; practical transferability requires local dietetic and healthcare context.</x:v>
      </x:c>
      <x:c r="V43" s="27" t="str"/>
      <x:c r="W43" s="27" t="str">
        <x:v>moderate</x:v>
      </x:c>
      <x:c r="X43" s="27" t="str">
        <x:v>ready_for_human_review</x:v>
      </x:c>
      <x:c r="Y43" s="27" t="str">
        <x:v>pending_human_review</x:v>
      </x:c>
      <x:c r="Z43" s="30" t="str"/>
      <x:c r="AA43" s="30" t="str"/>
      <x:c r="AB43" s="30" t="str"/>
    </x:row>
    <x:row r="44" ht="92" customHeight="1">
      <x:c r="A44" s="27" t="str">
        <x:v>CLM-077</x:v>
      </x:c>
      <x:c r="B44" s="27" t="str">
        <x:v>SRC-020</x:v>
      </x:c>
      <x:c r="C44" s="27" t="str"/>
      <x:c r="D44" s="27" t="str">
        <x:v>Association of ultra-processed food intake with risk of inflammatory bowel disease: prospective cohort study.</x:v>
      </x:c>
      <x:c r="E44" s="27" t="str">
        <x:v>ultra_processed</x:v>
      </x:c>
      <x:c r="F44" s="27" t="str">
        <x:v>ibd_general</x:v>
      </x:c>
      <x:c r="G44" s="27" t="str">
        <x:v>general_or_unspecified</x:v>
      </x:c>
      <x:c r="H44" s="27" t="str">
        <x:v>After adjustment for potential confounding factors, higher intake of ultra-processed food was associated with a higher risk of incident IBD (hazard ratio 1.82, 95% confidence interval 1.22 to 2.72 for ≥5 servings/day and 1.67, 1.18 to 2.37 for 1-4 servings/day compared with &lt;1 serving/day, P=0.006 for trend).</x:v>
      </x:c>
      <x:c r="I44" s="27" t="str">
        <x:v>The cited source reports that after adjustment for potential confounding factors, higher intake of ultra-processed food was associated with a higher risk of incident IBD (hazard ratio 1.82, 95% confidence interval 1.22 to 2.72 for ≥5 servings/day and 1.67, 1.18 to 2.37 for 1-4 servings/day compared with &lt;1 serving/day, P=0.006 for trend). This is population-level association evidence and does not establish causation or predict an individual's disease course.</x:v>
      </x:c>
      <x:c r="J44" s="27" t="str">
        <x:v>The cited source reports that after adjustment for potential confounding factors, higher intake of ultra-processed food was associated with a higher risk of incident IBD (hazard ratio 1.82, 95% confidence interval 1.22 to 2.72 for ≥5 servings/day and 1.67, 1.18 to 2.37 for 1-4 servings/day compared with &lt;1 serving/day, P=0.006 for trend). This is population-level association evidence and does not establish causation or predict an individual's disease course.</x:v>
      </x:c>
      <x:c r="K44" s="27" t="str">
        <x:v>Keep the observational or incidence framing explicit; do not convert association into causal or individual disease-course advice.</x:v>
      </x:c>
      <x:c r="L44" s="27" t="str">
        <x:v>Keep the observational or incidence framing explicit; do not convert association into causal or individual disease-course advice.</x:v>
      </x:c>
      <x:c r="M44" s="27" t="str">
        <x:v>After adjustment for potential confounding factors, higher intake of ultra-processed food was associated with a higher risk of incident IBD (hazard ratio 1.82, 95% confidence interval 1.22 to 2.72 for ≥5 servings/day and 1.67, 1.18 to 2.37 for 1-4 servings/day compared with &lt;1 serving/day, P=0.006 for trend).</x:v>
      </x:c>
      <x:c r="N44" s="27" t="str">
        <x:v>PubMed abstract — sentence 11</x:v>
      </x:c>
      <x:c r="O44" s="27" t="str">
        <x:v>observational</x:v>
      </x:c>
      <x:c r="P44" s="27" t="str"/>
      <x:c r="Q44" s="27" t="str">
        <x:v>observational study</x:v>
      </x:c>
      <x:c r="R44" s="27" t="str">
        <x:v>Adults with IBD, as specified</x:v>
      </x:c>
      <x:c r="S44" s="27" t="str">
        <x:v>467</x:v>
      </x:c>
      <x:c r="T44" s="27" t="str">
        <x:v>Automated metadata and passage extraction; full methods and tables require human review. Public full text available for deeper review.</x:v>
      </x:c>
      <x:c r="U44" s="27" t="str">
        <x:v>Study includes or directly discusses a North American context, but population-level findings are not personalized advice.</x:v>
      </x:c>
      <x:c r="V44" s="27" t="str"/>
      <x:c r="W44" s="27" t="str">
        <x:v>moderate</x:v>
      </x:c>
      <x:c r="X44" s="27" t="str">
        <x:v>ready_for_human_review</x:v>
      </x:c>
      <x:c r="Y44" s="27" t="str">
        <x:v>pending_human_review</x:v>
      </x:c>
      <x:c r="Z44" s="30" t="str"/>
      <x:c r="AA44" s="30" t="str"/>
      <x:c r="AB44" s="30" t="str"/>
    </x:row>
    <x:row r="45" ht="92" customHeight="1">
      <x:c r="A45" s="27" t="str">
        <x:v>CLM-078</x:v>
      </x:c>
      <x:c r="B45" s="27" t="str">
        <x:v>SRC-020</x:v>
      </x:c>
      <x:c r="C45" s="27" t="str"/>
      <x:c r="D45" s="27" t="str">
        <x:v>Association of ultra-processed food intake with risk of inflammatory bowel disease: prospective cohort study.</x:v>
      </x:c>
      <x:c r="E45" s="27" t="str">
        <x:v>ultra_processed</x:v>
      </x:c>
      <x:c r="F45" s="27" t="str">
        <x:v>ibd_general</x:v>
      </x:c>
      <x:c r="G45" s="27" t="str">
        <x:v>general_or_unspecified</x:v>
      </x:c>
      <x:c r="H45" s="27" t="str">
        <x:v>Different subgroups of ultra-processed food, including soft drinks, refined sweetened foods, salty snacks, and processed meat, each were associated with higher hazard ratios for IBD.</x:v>
      </x:c>
      <x:c r="I45" s="27" t="str">
        <x:v>The cited source reports that different subgroups of ultra-processed food, including soft drinks, refined sweetened foods, salty snacks, and processed meat, each were associated with higher hazard ratios for IBD. This is population-level association evidence and does not establish causation or predict an individual's disease course.</x:v>
      </x:c>
      <x:c r="J45" s="27" t="str">
        <x:v>The cited source reports that different subgroups of ultra-processed food, including soft drinks, refined sweetened foods, salty snacks, and processed meat, each were associated with higher hazard ratios for IBD. This is population-level association evidence and does not establish causation or predict an individual's disease course.</x:v>
      </x:c>
      <x:c r="K45" s="27" t="str">
        <x:v>Keep the observational or incidence framing explicit; do not convert association into causal or individual disease-course advice.</x:v>
      </x:c>
      <x:c r="L45" s="27" t="str">
        <x:v>Keep the observational or incidence framing explicit; do not convert association into causal or individual disease-course advice.</x:v>
      </x:c>
      <x:c r="M45" s="27" t="str">
        <x:v>Different subgroups of ultra-processed food, including soft drinks, refined sweetened foods, salty snacks, and processed meat, each were associated with higher hazard ratios for IBD.</x:v>
      </x:c>
      <x:c r="N45" s="27" t="str">
        <x:v>PubMed abstract — sentence 12</x:v>
      </x:c>
      <x:c r="O45" s="27" t="str">
        <x:v>observational</x:v>
      </x:c>
      <x:c r="P45" s="27" t="str"/>
      <x:c r="Q45" s="27" t="str">
        <x:v>observational study</x:v>
      </x:c>
      <x:c r="R45" s="27" t="str">
        <x:v>Adults with IBD, as specified</x:v>
      </x:c>
      <x:c r="S45" s="27" t="str">
        <x:v>467</x:v>
      </x:c>
      <x:c r="T45" s="27" t="str">
        <x:v>Automated metadata and passage extraction; full methods and tables require human review. Public full text available for deeper review.</x:v>
      </x:c>
      <x:c r="U45" s="27" t="str">
        <x:v>Study includes or directly discusses a North American context, but population-level findings are not personalized advice.</x:v>
      </x:c>
      <x:c r="V45" s="27" t="str"/>
      <x:c r="W45" s="27" t="str">
        <x:v>moderate</x:v>
      </x:c>
      <x:c r="X45" s="27" t="str">
        <x:v>ready_for_human_review</x:v>
      </x:c>
      <x:c r="Y45" s="27" t="str">
        <x:v>pending_human_review</x:v>
      </x:c>
      <x:c r="Z45" s="30" t="str"/>
      <x:c r="AA45" s="30" t="str"/>
      <x:c r="AB45" s="30" t="str"/>
    </x:row>
    <x:row r="46" ht="92" customHeight="1">
      <x:c r="A46" s="27" t="str">
        <x:v>CLM-079</x:v>
      </x:c>
      <x:c r="B46" s="27" t="str">
        <x:v>SRC-020</x:v>
      </x:c>
      <x:c r="C46" s="27" t="str"/>
      <x:c r="D46" s="27" t="str">
        <x:v>Association of ultra-processed food intake with risk of inflammatory bowel disease: prospective cohort study.</x:v>
      </x:c>
      <x:c r="E46" s="27" t="str">
        <x:v>dairy_lactose</x:v>
      </x:c>
      <x:c r="F46" s="27" t="str">
        <x:v>ibd_general</x:v>
      </x:c>
      <x:c r="G46" s="27" t="str">
        <x:v>general_or_unspecified</x:v>
      </x:c>
      <x:c r="H46" s="27" t="str">
        <x:v>Intakes of white meat, red meat, dairy, starch, and fruit, vegetables, and legumes were not associated with incident IBD.</x:v>
      </x:c>
      <x:c r="I46" s="27" t="str">
        <x:v>The cited source reports that intakes of white meat, red meat, dairy, starch, and fruit, vegetables, and legumes were not associated with incident IBD. This is population-level association evidence and does not establish causation or predict an individual's disease course.</x:v>
      </x:c>
      <x:c r="J46" s="27" t="str">
        <x:v>The cited source reports that intakes of white meat, red meat, dairy, starch, and fruit, vegetables, and legumes were not associated with incident IBD. This is population-level association evidence and does not establish causation or predict an individual's disease course.</x:v>
      </x:c>
      <x:c r="K46" s="27" t="str">
        <x:v>Keep the observational or incidence framing explicit; do not convert association into causal or individual disease-course advice.</x:v>
      </x:c>
      <x:c r="L46" s="27" t="str">
        <x:v>Keep the observational or incidence framing explicit; do not convert association into causal or individual disease-course advice.</x:v>
      </x:c>
      <x:c r="M46" s="27" t="str">
        <x:v>Intakes of white meat, red meat, dairy, starch, and fruit, vegetables, and legumes were not associated with incident IBD.</x:v>
      </x:c>
      <x:c r="N46" s="27" t="str">
        <x:v>PubMed abstract — sentence 14</x:v>
      </x:c>
      <x:c r="O46" s="27" t="str">
        <x:v>observational</x:v>
      </x:c>
      <x:c r="P46" s="27" t="str"/>
      <x:c r="Q46" s="27" t="str">
        <x:v>observational study</x:v>
      </x:c>
      <x:c r="R46" s="27" t="str">
        <x:v>Adults with IBD, as specified</x:v>
      </x:c>
      <x:c r="S46" s="27" t="str">
        <x:v>467</x:v>
      </x:c>
      <x:c r="T46" s="27" t="str">
        <x:v>Automated metadata and passage extraction; full methods and tables require human review. Public full text available for deeper review.</x:v>
      </x:c>
      <x:c r="U46" s="27" t="str">
        <x:v>Study includes or directly discusses a North American context, but population-level findings are not personalized advice.</x:v>
      </x:c>
      <x:c r="V46" s="27" t="str"/>
      <x:c r="W46" s="27" t="str">
        <x:v>moderate</x:v>
      </x:c>
      <x:c r="X46" s="27" t="str">
        <x:v>ready_for_human_review</x:v>
      </x:c>
      <x:c r="Y46" s="27" t="str">
        <x:v>pending_human_review</x:v>
      </x:c>
      <x:c r="Z46" s="30" t="str"/>
      <x:c r="AA46" s="30" t="str"/>
      <x:c r="AB46" s="30" t="str"/>
    </x:row>
    <x:row r="47" ht="92" customHeight="1">
      <x:c r="A47" s="27" t="str">
        <x:v>CLM-080</x:v>
      </x:c>
      <x:c r="B47" s="27" t="str">
        <x:v>SRC-020</x:v>
      </x:c>
      <x:c r="C47" s="27" t="str"/>
      <x:c r="D47" s="27" t="str">
        <x:v>Association of ultra-processed food intake with risk of inflammatory bowel disease: prospective cohort study.</x:v>
      </x:c>
      <x:c r="E47" s="27" t="str">
        <x:v>ultra_processed</x:v>
      </x:c>
      <x:c r="F47" s="27" t="str">
        <x:v>ibd_general</x:v>
      </x:c>
      <x:c r="G47" s="27" t="str">
        <x:v>general_or_unspecified</x:v>
      </x:c>
      <x:c r="H47" s="27" t="str">
        <x:v>CONCLUSIONS: Higher intake of ultra-processed food was positively associated with risk of IBD.</x:v>
      </x:c>
      <x:c r="I47" s="27" t="str">
        <x:v>The cited source reports that higher intake of ultra-processed food was positively associated with risk of IBD. This is population-level association evidence and does not establish causation or predict an individual's disease course.</x:v>
      </x:c>
      <x:c r="J47" s="27" t="str">
        <x:v>The cited source reports that higher intake of ultra-processed food was positively associated with risk of IBD. This is population-level association evidence and does not establish causation or predict an individual's disease course.</x:v>
      </x:c>
      <x:c r="K47" s="27" t="str">
        <x:v>Keep the observational or incidence framing explicit; do not convert association into causal or individual disease-course advice.</x:v>
      </x:c>
      <x:c r="L47" s="27" t="str">
        <x:v>Keep the observational or incidence framing explicit; do not convert association into causal or individual disease-course advice.</x:v>
      </x:c>
      <x:c r="M47" s="27" t="str">
        <x:v>CONCLUSIONS: Higher intake of ultra-processed food was positively associated with risk of IBD.</x:v>
      </x:c>
      <x:c r="N47" s="27" t="str">
        <x:v>PubMed abstract — sentence 15</x:v>
      </x:c>
      <x:c r="O47" s="27" t="str">
        <x:v>observational</x:v>
      </x:c>
      <x:c r="P47" s="27" t="str"/>
      <x:c r="Q47" s="27" t="str">
        <x:v>observational study</x:v>
      </x:c>
      <x:c r="R47" s="27" t="str">
        <x:v>Adults with IBD, as specified</x:v>
      </x:c>
      <x:c r="S47" s="27" t="str">
        <x:v>467</x:v>
      </x:c>
      <x:c r="T47" s="27" t="str">
        <x:v>Automated metadata and passage extraction; full methods and tables require human review. Public full text available for deeper review.</x:v>
      </x:c>
      <x:c r="U47" s="27" t="str">
        <x:v>Study includes or directly discusses a North American context, but population-level findings are not personalized advice.</x:v>
      </x:c>
      <x:c r="V47" s="27" t="str"/>
      <x:c r="W47" s="27" t="str">
        <x:v>moderate</x:v>
      </x:c>
      <x:c r="X47" s="27" t="str">
        <x:v>ready_for_human_review</x:v>
      </x:c>
      <x:c r="Y47" s="27" t="str">
        <x:v>pending_human_review</x:v>
      </x:c>
      <x:c r="Z47" s="30" t="str"/>
      <x:c r="AA47" s="30" t="str"/>
      <x:c r="AB47" s="30" t="str"/>
    </x:row>
    <x:row r="48" ht="92" customHeight="1">
      <x:c r="A48" s="27" t="str">
        <x:v>CLM-081</x:v>
      </x:c>
      <x:c r="B48" s="27" t="str">
        <x:v>SRC-021</x:v>
      </x:c>
      <x:c r="C48" s="27" t="str"/>
      <x:c r="D48" s="27" t="str">
        <x:v>European Crohn’s and Colitis Organisation consensus on dietary management of inflammatory bowel disease</x:v>
      </x:c>
      <x:c r="E48" s="27" t="str">
        <x:v>core_condition_knowledge</x:v>
      </x:c>
      <x:c r="F48" s="27" t="str">
        <x:v>ulcerative_colitis; crohns_disease; ibd_general</x:v>
      </x:c>
      <x:c r="G48" s="27" t="str">
        <x:v>general_or_unspecified</x:v>
      </x:c>
      <x:c r="H48" s="27" t="str">
        <x:v>In the absence of a specific dietary intervention that is recommended by an IBD healthcare professional, healthy eating guidelines should be followed by people with IBD, as recommended for the general population.</x:v>
      </x:c>
      <x:c r="I48" s="27" t="str">
        <x:v>The cited source reports that in the absence of a specific dietary intervention that is recommended by an IBD healthcare professional, healthy eating guidelines should be followed by people with IBD, as recommended for the general population. This is source-attributed information, not a treatment recommendation for an individual.</x:v>
      </x:c>
      <x:c r="J48" s="27" t="str">
        <x:v>The cited source reports that in the absence of a specific dietary intervention that is recommended by an IBD healthcare professional, healthy eating guidelines should be followed by people with IBD, as recommended for the general population. This is source-attributed information, not a treatment recommendation for an individual.</x:v>
      </x:c>
      <x:c r="K48" s="27" t="str">
        <x:v>Attribute the statement to the source and retain disease-state, population, evidence-strength, and clinician/dietitian context so it is not personalized treatment advice.</x:v>
      </x:c>
      <x:c r="L48" s="27" t="str">
        <x:v>Attribute the statement to the source and retain disease-state, population, evidence-strength, and clinician/dietitian context so it is not personalized treatment advice.</x:v>
      </x:c>
      <x:c r="M48" s="27" t="str">
        <x:v>In the absence of a specific dietary intervention that is recommended by an IBD healthcare professional, healthy eating guidelines should be followed by people with IBD, as recommended for the general population.</x:v>
      </x:c>
      <x:c r="N48" s="27" t="str">
        <x:v>Official article webpage — heading "Abstract"; sentence containing exact excerpt SHA-256 84eccf68ee7b</x:v>
      </x:c>
      <x:c r="O48" s="27" t="str">
        <x:v>consensus_statement</x:v>
      </x:c>
      <x:c r="P48" s="27" t="str"/>
      <x:c r="Q48" s="27" t="str">
        <x:v>consensus statement</x:v>
      </x:c>
      <x:c r="R48" s="27" t="str">
        <x:v>Adults with IBD and caregivers</x:v>
      </x:c>
      <x:c r="S48" s="27" t="str">
        <x:v>Not applicable</x:v>
      </x:c>
      <x:c r="T48" s="27" t="str">
        <x:v>Patient information is explanatory, not a substitute for clinical evidence or individualized care.</x:v>
      </x:c>
      <x:c r="U48" s="27" t="str">
        <x:v>Europe / international consensus source; Canadian and US food environments, labelling, dietetic access, and care pathways may differ.</x:v>
      </x:c>
      <x:c r="V48" s="27" t="str"/>
      <x:c r="W48" s="27" t="str">
        <x:v>high</x:v>
      </x:c>
      <x:c r="X48" s="27" t="str">
        <x:v>ready_for_human_review</x:v>
      </x:c>
      <x:c r="Y48" s="27" t="str">
        <x:v>pending_human_review</x:v>
      </x:c>
      <x:c r="Z48" s="30" t="str"/>
      <x:c r="AA48" s="30" t="str"/>
      <x:c r="AB48" s="30" t="str"/>
    </x:row>
    <x:row r="49" ht="92" customHeight="1">
      <x:c r="A49" s="27" t="str">
        <x:v>CLM-082</x:v>
      </x:c>
      <x:c r="B49" s="27" t="str">
        <x:v>SRC-021</x:v>
      </x:c>
      <x:c r="C49" s="27" t="str"/>
      <x:c r="D49" s="27" t="str">
        <x:v>European Crohn’s and Colitis Organisation consensus on dietary management of inflammatory bowel disease</x:v>
      </x:c>
      <x:c r="E49" s="27" t="str">
        <x:v>core_condition_knowledge</x:v>
      </x:c>
      <x:c r="F49" s="27" t="str">
        <x:v>ulcerative_colitis; crohns_disease; ibd_general</x:v>
      </x:c>
      <x:c r="G49" s="27" t="str">
        <x:v>general_or_unspecified</x:v>
      </x:c>
      <x:c r="H49" s="27" t="str">
        <x:v>Most evidence for dietary interventions was of low quality, with few studies measuring endoscopic, radiological, or biochemical endpoints or durability of response.</x:v>
      </x:c>
      <x:c r="I49" s="27" t="str">
        <x:v>The cited source reports that most evidence for dietary interventions was of low quality, with few studies measuring endoscopic, radiological, or biochemical endpoints or durability of response. This is source-attributed information, not a treatment recommendation for an individual.</x:v>
      </x:c>
      <x:c r="J49" s="27" t="str">
        <x:v>The cited source reports that most evidence for dietary interventions was of low quality, with few studies measuring endoscopic, radiological, or biochemical endpoints or durability of response. This is source-attributed information, not a treatment recommendation for an individual.</x:v>
      </x:c>
      <x:c r="K49" s="27" t="str">
        <x:v>Narrow the wording to the exact passage and retain the source's limitations and uncertainty.</x:v>
      </x:c>
      <x:c r="L49" s="27" t="str">
        <x:v>Narrow the wording to the exact passage and retain the source's limitations and uncertainty.</x:v>
      </x:c>
      <x:c r="M49" s="27" t="str">
        <x:v>Most evidence for dietary interventions was of low quality, with few studies measuring endoscopic, radiological, or biochemical endpoints or durability of response.</x:v>
      </x:c>
      <x:c r="N49" s="27" t="str">
        <x:v>Official article webpage — heading "Abstract"; sentence containing exact excerpt SHA-256 46697aaa49c3</x:v>
      </x:c>
      <x:c r="O49" s="27" t="str">
        <x:v>consensus_statement</x:v>
      </x:c>
      <x:c r="P49" s="27" t="str"/>
      <x:c r="Q49" s="27" t="str">
        <x:v>consensus statement</x:v>
      </x:c>
      <x:c r="R49" s="27" t="str">
        <x:v>Adults with IBD and caregivers</x:v>
      </x:c>
      <x:c r="S49" s="27" t="str">
        <x:v>Not applicable</x:v>
      </x:c>
      <x:c r="T49" s="27" t="str">
        <x:v>Patient information is explanatory, not a substitute for clinical evidence or individualized care.</x:v>
      </x:c>
      <x:c r="U49" s="27" t="str">
        <x:v>Europe / international consensus source; Canadian and US food environments, labelling, dietetic access, and care pathways may differ.</x:v>
      </x:c>
      <x:c r="V49" s="27" t="str"/>
      <x:c r="W49" s="27" t="str">
        <x:v>high</x:v>
      </x:c>
      <x:c r="X49" s="27" t="str">
        <x:v>ready_for_human_review</x:v>
      </x:c>
      <x:c r="Y49" s="27" t="str">
        <x:v>pending_human_review</x:v>
      </x:c>
      <x:c r="Z49" s="30" t="str"/>
      <x:c r="AA49" s="30" t="str"/>
      <x:c r="AB49" s="30" t="str"/>
    </x:row>
    <x:row r="50" ht="92" customHeight="1">
      <x:c r="A50" s="27" t="str">
        <x:v>CLM-083</x:v>
      </x:c>
      <x:c r="B50" s="27" t="str">
        <x:v>SRC-021</x:v>
      </x:c>
      <x:c r="C50" s="27" t="str"/>
      <x:c r="D50" s="27" t="str">
        <x:v>European Crohn’s and Colitis Organisation consensus on dietary management of inflammatory bowel disease</x:v>
      </x:c>
      <x:c r="E50" s="27" t="str">
        <x:v>fibre</x:v>
      </x:c>
      <x:c r="F50" s="27" t="str">
        <x:v>ulcerative_colitis; crohns_disease; ibd_general</x:v>
      </x:c>
      <x:c r="G50" s="27" t="str">
        <x:v>stricture_or_obstruction_risk</x:v>
      </x:c>
      <x:c r="H50" s="27" t="str">
        <x:v>A modified or low-fiber diet may reduce obstruction risk in people with stricturing Crohn's disease.</x:v>
      </x:c>
      <x:c r="I50" s="27" t="str">
        <x:v>The cited source reports that a modified or low-fiber diet may reduce obstruction risk in people with stricturing Crohn's disease. This is population-level association evidence and does not establish causation or predict an individual's disease course.</x:v>
      </x:c>
      <x:c r="J50" s="27" t="str">
        <x:v>The cited source reports that a modified or low-fiber diet may reduce obstruction risk in people with stricturing Crohn's disease. This is population-level association evidence and does not establish causation or predict an individual's disease course.</x:v>
      </x:c>
      <x:c r="K50" s="27" t="str">
        <x:v>Keep the observational or incidence framing explicit; do not convert association into causal or individual disease-course advice.</x:v>
      </x:c>
      <x:c r="L50" s="27" t="str">
        <x:v>Keep the observational or incidence framing explicit; do not convert association into causal or individual disease-course advice.</x:v>
      </x:c>
      <x:c r="M50" s="27" t="str">
        <x:v>A modified or low-fiber diet may reduce obstruction risk in people with stricturing Crohn's disease.</x:v>
      </x:c>
      <x:c r="N50" s="27" t="str">
        <x:v>Official article webpage — heading "Abstract"; sentence containing exact excerpt SHA-256 25b8f4115beb</x:v>
      </x:c>
      <x:c r="O50" s="27" t="str">
        <x:v>consensus_statement</x:v>
      </x:c>
      <x:c r="P50" s="27" t="str"/>
      <x:c r="Q50" s="27" t="str">
        <x:v>consensus statement</x:v>
      </x:c>
      <x:c r="R50" s="27" t="str">
        <x:v>Adults with IBD and caregivers</x:v>
      </x:c>
      <x:c r="S50" s="27" t="str">
        <x:v>Not applicable</x:v>
      </x:c>
      <x:c r="T50" s="27" t="str">
        <x:v>Patient information is explanatory, not a substitute for clinical evidence or individualized care.</x:v>
      </x:c>
      <x:c r="U50" s="27" t="str">
        <x:v>Europe / international consensus source; Canadian and US food environments, labelling, dietetic access, and care pathways may differ.</x:v>
      </x:c>
      <x:c r="V50" s="27" t="str"/>
      <x:c r="W50" s="27" t="str">
        <x:v>high</x:v>
      </x:c>
      <x:c r="X50" s="27" t="str">
        <x:v>ready_for_human_review</x:v>
      </x:c>
      <x:c r="Y50" s="27" t="str">
        <x:v>pending_human_review</x:v>
      </x:c>
      <x:c r="Z50" s="30" t="str"/>
      <x:c r="AA50" s="30" t="str"/>
      <x:c r="AB50" s="30" t="str"/>
    </x:row>
    <x:row r="51" ht="92" customHeight="1">
      <x:c r="A51" s="27" t="str">
        <x:v>CLM-084</x:v>
      </x:c>
      <x:c r="B51" s="27" t="str">
        <x:v>SRC-022</x:v>
      </x:c>
      <x:c r="C51" s="27" t="str"/>
      <x:c r="D51" s="27" t="str">
        <x:v>ECCO Guidelines on Therapeutics in Crohn’s Disease: Medical Treatment</x:v>
      </x:c>
      <x:c r="E51" s="27" t="str">
        <x:v>core_condition_knowledge</x:v>
      </x:c>
      <x:c r="F51" s="27" t="str">
        <x:v>crohns_disease</x:v>
      </x:c>
      <x:c r="G51" s="27" t="str">
        <x:v>general_or_unspecified</x:v>
      </x:c>
      <x:c r="H51" s="27" t="str">
        <x:v>There is emerging evidence that dietary therapies may be beneficial in reducing the inflammatory burden in Crohn's disease.</x:v>
      </x:c>
      <x:c r="I51" s="27" t="str">
        <x:v>The cited source reports that there is emerging evidence that dietary therapies may be beneficial in reducing the inflammatory burden in Crohn's disease.</x:v>
      </x:c>
      <x:c r="J51" s="27" t="str">
        <x:v>The cited source reports that there is emerging evidence that dietary therapies may be beneficial in reducing the inflammatory burden in Crohn's disease.</x:v>
      </x:c>
      <x:c r="K51" s="27" t="str">
        <x:v>Narrow the wording to the exact passage and retain the source's limitations and uncertainty.</x:v>
      </x:c>
      <x:c r="L51" s="27" t="str">
        <x:v>Narrow the wording to the exact passage and retain the source's limitations and uncertainty.</x:v>
      </x:c>
      <x:c r="M51" s="27" t="str">
        <x:v>There is emerging evidence that dietary therapies may be beneficial in reducing the inflammatory burden in Crohn's disease.</x:v>
      </x:c>
      <x:c r="N51" s="27" t="str">
        <x:v>Official article webpage — heading "Abstract"; sentence containing exact excerpt SHA-256 28bb76336529</x:v>
      </x:c>
      <x:c r="O51" s="27" t="str">
        <x:v>formal_guideline</x:v>
      </x:c>
      <x:c r="P51" s="27" t="str"/>
      <x:c r="Q51" s="27" t="str">
        <x:v>clinical guideline</x:v>
      </x:c>
      <x:c r="R51" s="27" t="str">
        <x:v>Adults with IBD and caregivers</x:v>
      </x:c>
      <x:c r="S51" s="27" t="str">
        <x:v>Not applicable</x:v>
      </x:c>
      <x:c r="T51" s="27" t="str">
        <x:v>Patient information is explanatory, not a substitute for clinical evidence or individualized care.</x:v>
      </x:c>
      <x:c r="U51" s="27" t="str">
        <x:v>Europe / international consensus source; Canadian and US food environments, labelling, dietetic access, and care pathways may differ.</x:v>
      </x:c>
      <x:c r="V51" s="27" t="str"/>
      <x:c r="W51" s="27" t="str">
        <x:v>high</x:v>
      </x:c>
      <x:c r="X51" s="27" t="str">
        <x:v>ready_for_human_review</x:v>
      </x:c>
      <x:c r="Y51" s="27" t="str">
        <x:v>pending_human_review</x:v>
      </x:c>
      <x:c r="Z51" s="30" t="str"/>
      <x:c r="AA51" s="30" t="str"/>
      <x:c r="AB51" s="30" t="str"/>
    </x:row>
    <x:row r="52" ht="92" customHeight="1">
      <x:c r="A52" s="27" t="str">
        <x:v>CLM-085</x:v>
      </x:c>
      <x:c r="B52" s="27" t="str">
        <x:v>SRC-022</x:v>
      </x:c>
      <x:c r="C52" s="27" t="str"/>
      <x:c r="D52" s="27" t="str">
        <x:v>ECCO Guidelines on Therapeutics in Crohn’s Disease: Medical Treatment</x:v>
      </x:c>
      <x:c r="E52" s="27" t="str">
        <x:v>core_condition_knowledge</x:v>
      </x:c>
      <x:c r="F52" s="27" t="str">
        <x:v>crohns_disease</x:v>
      </x:c>
      <x:c r="G52" s="27" t="str">
        <x:v>general_or_unspecified</x:v>
      </x:c>
      <x:c r="H52" s="27" t="str">
        <x:v>Dietary intervention should be considered based on disease activity, patient motivation, current evidence, and availability of dietetic support.</x:v>
      </x:c>
      <x:c r="I52" s="27" t="str">
        <x:v>The cited source reports that dietary intervention should be considered based on disease activity, patient motivation, current evidence, and availability of dietetic support. This is source-attributed information, not a treatment recommendation for an individual.</x:v>
      </x:c>
      <x:c r="J52" s="27" t="str">
        <x:v>The cited source reports that dietary intervention should be considered based on disease activity, patient motivation, current evidence, and availability of dietetic support. This is source-attributed information, not a treatment recommendation for an individual.</x:v>
      </x:c>
      <x:c r="K52" s="27" t="str">
        <x:v>Attribute the statement to the source and retain disease-state, population, evidence-strength, and clinician/dietitian context so it is not personalized treatment advice.</x:v>
      </x:c>
      <x:c r="L52" s="27" t="str">
        <x:v>Attribute the statement to the source and retain disease-state, population, evidence-strength, and clinician/dietitian context so it is not personalized treatment advice.</x:v>
      </x:c>
      <x:c r="M52" s="27" t="str">
        <x:v>Dietary intervention should be considered based on disease activity, patient motivation, current evidence, and availability of dietetic support.</x:v>
      </x:c>
      <x:c r="N52" s="27" t="str">
        <x:v>Official article webpage — heading "Abstract"; sentence containing exact excerpt SHA-256 8a4db52772aa</x:v>
      </x:c>
      <x:c r="O52" s="27" t="str">
        <x:v>formal_guideline</x:v>
      </x:c>
      <x:c r="P52" s="27" t="str"/>
      <x:c r="Q52" s="27" t="str">
        <x:v>clinical guideline</x:v>
      </x:c>
      <x:c r="R52" s="27" t="str">
        <x:v>Adults with IBD and caregivers</x:v>
      </x:c>
      <x:c r="S52" s="27" t="str">
        <x:v>Not applicable</x:v>
      </x:c>
      <x:c r="T52" s="27" t="str">
        <x:v>Patient information is explanatory, not a substitute for clinical evidence or individualized care.</x:v>
      </x:c>
      <x:c r="U52" s="27" t="str">
        <x:v>Europe / international consensus source; Canadian and US food environments, labelling, dietetic access, and care pathways may differ.</x:v>
      </x:c>
      <x:c r="V52" s="27" t="str"/>
      <x:c r="W52" s="27" t="str">
        <x:v>high</x:v>
      </x:c>
      <x:c r="X52" s="27" t="str">
        <x:v>ready_for_human_review</x:v>
      </x:c>
      <x:c r="Y52" s="27" t="str">
        <x:v>pending_human_review</x:v>
      </x:c>
      <x:c r="Z52" s="30" t="str"/>
      <x:c r="AA52" s="30" t="str"/>
      <x:c r="AB52" s="30" t="str"/>
    </x:row>
    <x:row r="53" ht="92" customHeight="1">
      <x:c r="A53" s="27" t="str">
        <x:v>CLM-086</x:v>
      </x:c>
      <x:c r="B53" s="27" t="str">
        <x:v>SRC-022</x:v>
      </x:c>
      <x:c r="C53" s="27" t="str"/>
      <x:c r="D53" s="27" t="str">
        <x:v>ECCO Guidelines on Therapeutics in Crohn’s Disease: Medical Treatment</x:v>
      </x:c>
      <x:c r="E53" s="27" t="str">
        <x:v>enteral_nutrition</x:v>
      </x:c>
      <x:c r="F53" s="27" t="str">
        <x:v>crohns_disease</x:v>
      </x:c>
      <x:c r="G53" s="27" t="str">
        <x:v>remission</x:v>
      </x:c>
      <x:c r="H53" s="27" t="str">
        <x:v>Partial enteral nutrition might be considered for maintaining remission in a subset of patients who can tolerate formula with routine monitoring.</x:v>
      </x:c>
      <x:c r="I53" s="27" t="str">
        <x:v>The cited source reports that partial enteral nutrition might be considered for maintaining remission in a subset of patients who can tolerate formula with routine monitoring. This is source-attributed information, not a treatment recommendation for an individual.</x:v>
      </x:c>
      <x:c r="J53" s="27" t="str">
        <x:v>The cited source reports that partial enteral nutrition might be considered for maintaining remission in a subset of patients who can tolerate formula with routine monitoring. This is source-attributed information, not a treatment recommendation for an individual.</x:v>
      </x:c>
      <x:c r="K53" s="27" t="str">
        <x:v>Narrow the wording to the exact passage and retain the source's limitations and uncertainty.</x:v>
      </x:c>
      <x:c r="L53" s="27" t="str">
        <x:v>Narrow the wording to the exact passage and retain the source's limitations and uncertainty.</x:v>
      </x:c>
      <x:c r="M53" s="27" t="str">
        <x:v>Partial enteral nutrition might be considered for maintaining remission in a subset of patients who can tolerate formula with routine monitoring.</x:v>
      </x:c>
      <x:c r="N53" s="27" t="str">
        <x:v>Official article webpage — heading "Abstract"; sentence containing exact excerpt SHA-256 2526116d492e</x:v>
      </x:c>
      <x:c r="O53" s="27" t="str">
        <x:v>formal_guideline</x:v>
      </x:c>
      <x:c r="P53" s="27" t="str"/>
      <x:c r="Q53" s="27" t="str">
        <x:v>clinical guideline</x:v>
      </x:c>
      <x:c r="R53" s="27" t="str">
        <x:v>Adults with IBD and caregivers</x:v>
      </x:c>
      <x:c r="S53" s="27" t="str">
        <x:v>Not applicable</x:v>
      </x:c>
      <x:c r="T53" s="27" t="str">
        <x:v>Patient information is explanatory, not a substitute for clinical evidence or individualized care.</x:v>
      </x:c>
      <x:c r="U53" s="27" t="str">
        <x:v>Europe / international consensus source; Canadian and US food environments, labelling, dietetic access, and care pathways may differ.</x:v>
      </x:c>
      <x:c r="V53" s="27" t="str"/>
      <x:c r="W53" s="27" t="str">
        <x:v>high</x:v>
      </x:c>
      <x:c r="X53" s="27" t="str">
        <x:v>ready_for_human_review</x:v>
      </x:c>
      <x:c r="Y53" s="27" t="str">
        <x:v>pending_human_review</x:v>
      </x:c>
      <x:c r="Z53" s="30" t="str"/>
      <x:c r="AA53" s="30" t="str"/>
      <x:c r="AB53" s="30" t="str"/>
    </x:row>
    <x:row r="54" ht="92" customHeight="1">
      <x:c r="A54" s="27" t="str">
        <x:v>CLM-087</x:v>
      </x:c>
      <x:c r="B54" s="27" t="str">
        <x:v>SRC-023</x:v>
      </x:c>
      <x:c r="C54" s="27" t="str"/>
      <x:c r="D54" s="27" t="str">
        <x:v>Eating, Diet, &amp; Nutrition for Crohn’s Disease</x:v>
      </x:c>
      <x:c r="E54" s="27" t="str">
        <x:v>symptoms_vs_inflammation</x:v>
      </x:c>
      <x:c r="F54" s="27" t="str">
        <x:v>crohns_disease</x:v>
      </x:c>
      <x:c r="G54" s="27" t="str">
        <x:v>general_or_unspecified</x:v>
      </x:c>
      <x:c r="H54" s="27" t="str">
        <x:v>Depending on your symptoms and the medicines you take, your doctor may recommend changes to what you eat and drink.</x:v>
      </x:c>
      <x:c r="I54" s="27" t="str"/>
      <x:c r="J54" s="27" t="str">
        <x:v>Depending on your symptoms and the medicines you take, your doctor may recommend changes to what you eat and drink.</x:v>
      </x:c>
      <x:c r="K54" s="27" t="str">
        <x:v>The statement is atomic, directly traceable, appropriately limited, and informational.</x:v>
      </x:c>
      <x:c r="L54" s="27" t="str">
        <x:v>The statement is atomic, directly traceable, appropriately limited, and informational.</x:v>
      </x:c>
      <x:c r="M54" s="27" t="str">
        <x:v>Depending on your symptoms and the medicines you take, your doctor may recommend changes to what you eat and drink.</x:v>
      </x:c>
      <x:c r="N54" s="27" t="str">
        <x:v>Official NIDDK webpage — heading "Eating, Diet, &amp; Nutrition for Crohn’s Disease"; paragraph containing the cited excerpt</x:v>
      </x:c>
      <x:c r="O54" s="27" t="str">
        <x:v>official_patient_information</x:v>
      </x:c>
      <x:c r="P54" s="27" t="str"/>
      <x:c r="Q54" s="27" t="str">
        <x:v>official patient information</x:v>
      </x:c>
      <x:c r="R54" s="27" t="str">
        <x:v>Adults with IBD and caregivers</x:v>
      </x:c>
      <x:c r="S54" s="27" t="str">
        <x:v>Not applicable</x:v>
      </x:c>
      <x:c r="T54" s="27" t="str">
        <x:v>Patient information is explanatory, not a substitute for clinical evidence or individualized care.</x:v>
      </x:c>
      <x:c r="U54" s="27" t="str">
        <x:v>US source; Canadian healthcare pathways and practical food context may differ.</x:v>
      </x:c>
      <x:c r="V54" s="27" t="str"/>
      <x:c r="W54" s="27" t="str">
        <x:v>moderate</x:v>
      </x:c>
      <x:c r="X54" s="27" t="str">
        <x:v>ready_for_human_review</x:v>
      </x:c>
      <x:c r="Y54" s="27" t="str">
        <x:v>pending_human_review</x:v>
      </x:c>
      <x:c r="Z54" s="30" t="str"/>
      <x:c r="AA54" s="30" t="str"/>
      <x:c r="AB54" s="30" t="str"/>
    </x:row>
    <x:row r="55" ht="92" customHeight="1">
      <x:c r="A55" s="27" t="str">
        <x:v>CLM-088</x:v>
      </x:c>
      <x:c r="B55" s="27" t="str">
        <x:v>SRC-023</x:v>
      </x:c>
      <x:c r="C55" s="27" t="str"/>
      <x:c r="D55" s="27" t="str">
        <x:v>Eating, Diet, &amp; Nutrition for Crohn’s Disease</x:v>
      </x:c>
      <x:c r="E55" s="27" t="str">
        <x:v>fruit_vegetables</x:v>
      </x:c>
      <x:c r="F55" s="27" t="str">
        <x:v>crohns_disease</x:v>
      </x:c>
      <x:c r="G55" s="27" t="str">
        <x:v>general_or_unspecified</x:v>
      </x:c>
      <x:c r="H55" s="27" t="str">
        <x:v>Your doctor may recommend eating more fruits and vegetables for Crohn’s disease.</x:v>
      </x:c>
      <x:c r="I55" s="27" t="str">
        <x:v>The cited source reports that your doctor may recommend eating more fruits and vegetables for Crohn’s disease.</x:v>
      </x:c>
      <x:c r="J55" s="27" t="str">
        <x:v>The cited source reports that your doctor may recommend eating more fruits and vegetables for Crohn’s disease.</x:v>
      </x:c>
      <x:c r="K55" s="27" t="str">
        <x:v>Remove webpage extraction artifacts and present the material as general education, not individualized diet advice.</x:v>
      </x:c>
      <x:c r="L55" s="27" t="str">
        <x:v>Remove webpage extraction artifacts and present the material as general education, not individualized diet advice.</x:v>
      </x:c>
      <x:c r="M55" s="27" t="str">
        <x:v>Your doctor may recommend eating more fruits and vegetables for Crohn’s disease.</x:v>
      </x:c>
      <x:c r="N55" s="27" t="str">
        <x:v>Official NIDDK webpage — heading "Eating, Diet, &amp; Nutrition for Crohn’s Disease"; paragraph containing the cited excerpt</x:v>
      </x:c>
      <x:c r="O55" s="27" t="str">
        <x:v>official_patient_information</x:v>
      </x:c>
      <x:c r="P55" s="27" t="str"/>
      <x:c r="Q55" s="27" t="str">
        <x:v>official patient information</x:v>
      </x:c>
      <x:c r="R55" s="27" t="str">
        <x:v>Adults with IBD and caregivers</x:v>
      </x:c>
      <x:c r="S55" s="27" t="str">
        <x:v>Not applicable</x:v>
      </x:c>
      <x:c r="T55" s="27" t="str">
        <x:v>Patient information is explanatory, not a substitute for clinical evidence or individualized care.</x:v>
      </x:c>
      <x:c r="U55" s="27" t="str">
        <x:v>US source; Canadian healthcare pathways and practical food context may differ.</x:v>
      </x:c>
      <x:c r="V55" s="27" t="str"/>
      <x:c r="W55" s="27" t="str">
        <x:v>moderate</x:v>
      </x:c>
      <x:c r="X55" s="27" t="str">
        <x:v>ready_for_human_review</x:v>
      </x:c>
      <x:c r="Y55" s="27" t="str">
        <x:v>pending_human_review</x:v>
      </x:c>
      <x:c r="Z55" s="30" t="str"/>
      <x:c r="AA55" s="30" t="str"/>
      <x:c r="AB55" s="30" t="str"/>
    </x:row>
    <x:row r="56" ht="92" customHeight="1">
      <x:c r="A56" s="27" t="str">
        <x:v>CLM-089</x:v>
      </x:c>
      <x:c r="B56" s="27" t="str">
        <x:v>SRC-023</x:v>
      </x:c>
      <x:c r="C56" s="27" t="str"/>
      <x:c r="D56" s="27" t="str">
        <x:v>Eating, Diet, &amp; Nutrition for Crohn’s Disease</x:v>
      </x:c>
      <x:c r="E56" s="27" t="str">
        <x:v>core_condition_knowledge</x:v>
      </x:c>
      <x:c r="F56" s="27" t="str">
        <x:v>crohns_disease</x:v>
      </x:c>
      <x:c r="G56" s="27" t="str">
        <x:v>general_or_unspecified</x:v>
      </x:c>
      <x:c r="H56" s="27" t="str">
        <x:v>10 Your doctor may also recommend dietary supplements if your body doesn’t absorb enough nutrients.</x:v>
      </x:c>
      <x:c r="I56" s="27" t="str">
        <x:v>The cited source reports that your doctor may also recommend dietary supplements if your body doesn’t absorb enough nutrients.</x:v>
      </x:c>
      <x:c r="J56" s="27" t="str">
        <x:v>The cited source reports that your doctor may also recommend dietary supplements if your body doesn’t absorb enough nutrients.</x:v>
      </x:c>
      <x:c r="K56" s="27" t="str">
        <x:v>Remove webpage extraction artifacts and present the material as general education, not individualized diet advice.</x:v>
      </x:c>
      <x:c r="L56" s="27" t="str">
        <x:v>Remove webpage extraction artifacts and present the material as general education, not individualized diet advice.</x:v>
      </x:c>
      <x:c r="M56" s="27" t="str">
        <x:v>10 Your doctor may also recommend dietary supplements if your body doesn’t absorb enough nutrients.</x:v>
      </x:c>
      <x:c r="N56" s="27" t="str">
        <x:v>Official NIDDK webpage — heading "Eating, Diet, &amp; Nutrition for Crohn’s Disease"; paragraph containing the cited excerpt</x:v>
      </x:c>
      <x:c r="O56" s="27" t="str">
        <x:v>official_patient_information</x:v>
      </x:c>
      <x:c r="P56" s="27" t="str"/>
      <x:c r="Q56" s="27" t="str">
        <x:v>official patient information</x:v>
      </x:c>
      <x:c r="R56" s="27" t="str">
        <x:v>Adults with IBD and caregivers</x:v>
      </x:c>
      <x:c r="S56" s="27" t="str">
        <x:v>Not applicable</x:v>
      </x:c>
      <x:c r="T56" s="27" t="str">
        <x:v>Patient information is explanatory, not a substitute for clinical evidence or individualized care.</x:v>
      </x:c>
      <x:c r="U56" s="27" t="str">
        <x:v>US source; Canadian healthcare pathways and practical food context may differ.</x:v>
      </x:c>
      <x:c r="V56" s="27" t="str"/>
      <x:c r="W56" s="27" t="str">
        <x:v>moderate</x:v>
      </x:c>
      <x:c r="X56" s="27" t="str">
        <x:v>ready_for_human_review</x:v>
      </x:c>
      <x:c r="Y56" s="27" t="str">
        <x:v>pending_human_review</x:v>
      </x:c>
      <x:c r="Z56" s="30" t="str"/>
      <x:c r="AA56" s="30" t="str"/>
      <x:c r="AB56" s="30" t="str"/>
    </x:row>
    <x:row r="57" ht="92" customHeight="1">
      <x:c r="A57" s="27" t="str">
        <x:v>CLM-092</x:v>
      </x:c>
      <x:c r="B57" s="27" t="str">
        <x:v>SRC-024</x:v>
      </x:c>
      <x:c r="C57" s="27" t="str"/>
      <x:c r="D57" s="27" t="str">
        <x:v>What Should I Eat with IBD?</x:v>
      </x:c>
      <x:c r="E57" s="27" t="str">
        <x:v>core_condition_knowledge</x:v>
      </x:c>
      <x:c r="F57" s="27" t="str">
        <x:v>ulcerative_colitis; crohns_disease; ibd_general</x:v>
      </x:c>
      <x:c r="G57" s="27" t="str">
        <x:v>general_or_unspecified</x:v>
      </x:c>
      <x:c r="H57" s="27" t="str">
        <x:v>Disordered eating is common in people with GI diseases and is associated with worse disease outcomes 2 .</x:v>
      </x:c>
      <x:c r="I57" s="27" t="str">
        <x:v>The cited source reports that disordered eating is common in people with GI diseases and is associated with worse disease outcomes 2 . This is population-level association evidence and does not establish causation or predict an individual's disease course. The webpage version date should be confirmed before approval.</x:v>
      </x:c>
      <x:c r="J57" s="27" t="str">
        <x:v>The cited source reports that disordered eating is common in people with GI diseases and is associated with worse disease outcomes 2 . This is population-level association evidence and does not establish causation or predict an individual's disease course. The webpage version date should be confirmed before approval.</x:v>
      </x:c>
      <x:c r="K57" s="27" t="str">
        <x:v>The statement depends on superseded guidance, missing full-text context, or an unresolved source-level citation/version issue.</x:v>
      </x:c>
      <x:c r="L57" s="27" t="str">
        <x:v>The statement depends on superseded guidance, missing full-text context, or an unresolved source-level citation/version issue.</x:v>
      </x:c>
      <x:c r="M57" s="27" t="str">
        <x:v>Disordered eating is common in people with GI diseases and is associated with worse disease outcomes 2 .</x:v>
      </x:c>
      <x:c r="N57" s="27" t="str">
        <x:v>Official Crohn’s &amp; Colitis Foundation webpage — heading "Important points to keep in mind"; bullet 2</x:v>
      </x:c>
      <x:c r="O57" s="27" t="str">
        <x:v>official_patient_information</x:v>
      </x:c>
      <x:c r="P57" s="27" t="str"/>
      <x:c r="Q57" s="27" t="str">
        <x:v>official patient information</x:v>
      </x:c>
      <x:c r="R57" s="27" t="str">
        <x:v>Adults with IBD and caregivers</x:v>
      </x:c>
      <x:c r="S57" s="27" t="str">
        <x:v>Not applicable</x:v>
      </x:c>
      <x:c r="T57" s="27" t="str">
        <x:v>Patient information is explanatory, not a substitute for clinical evidence or individualized care.</x:v>
      </x:c>
      <x:c r="U57" s="27" t="str">
        <x:v>US source; Canadian healthcare pathways and practical food context may differ.</x:v>
      </x:c>
      <x:c r="V57" s="27" t="str"/>
      <x:c r="W57" s="27" t="str">
        <x:v>moderate</x:v>
      </x:c>
      <x:c r="X57" s="27" t="str">
        <x:v>still_needs_evidence</x:v>
      </x:c>
      <x:c r="Y57" s="27" t="str">
        <x:v>pending_human_review</x:v>
      </x:c>
      <x:c r="Z57" s="30" t="str"/>
      <x:c r="AA57" s="30" t="str"/>
      <x:c r="AB57" s="30" t="str"/>
    </x:row>
    <x:row r="58" ht="92" customHeight="1">
      <x:c r="A58" s="27" t="str">
        <x:v>CLM-093</x:v>
      </x:c>
      <x:c r="B58" s="27" t="str">
        <x:v>SRC-025</x:v>
      </x:c>
      <x:c r="C58" s="27" t="str"/>
      <x:c r="D58" s="27" t="str">
        <x:v>Food and IBD</x:v>
      </x:c>
      <x:c r="E58" s="27" t="str">
        <x:v>fruit_vegetables</x:v>
      </x:c>
      <x:c r="F58" s="27" t="str">
        <x:v>ulcerative_colitis; crohns_disease; ibd_general</x:v>
      </x:c>
      <x:c r="G58" s="27" t="str">
        <x:v>general_or_unspecified</x:v>
      </x:c>
      <x:c r="H58" s="27" t="str">
        <x:v>Melanie Living with Crohn's Fruit and vegetables It is recommended that people try to eat at least five portions of a variety of fruit and vegetables every day.</x:v>
      </x:c>
      <x:c r="I58" s="27" t="str">
        <x:v>The cited source reports that fruit and vegetables It is recommended that people try to eat at least five portions of a variety of fruit and vegetables every day. This is source-attributed information, not a treatment recommendation for an individual. The webpage version date should be confirmed before approval.</x:v>
      </x:c>
      <x:c r="J58" s="27" t="str">
        <x:v>The cited source reports that fruit and vegetables It is recommended that people try to eat at least five portions of a variety of fruit and vegetables every day. This is source-attributed information, not a treatment recommendation for an individual. The webpage version date should be confirmed before approval.</x:v>
      </x:c>
      <x:c r="K58" s="27" t="str">
        <x:v>Attribute the statement to the source and retain disease-state, population, evidence-strength, and clinician/dietitian context so it is not personalized treatment advice.</x:v>
      </x:c>
      <x:c r="L58" s="27" t="str">
        <x:v>Attribute the statement to the source and retain disease-state, population, evidence-strength, and clinician/dietitian context so it is not personalized treatment advice.</x:v>
      </x:c>
      <x:c r="M58" s="27" t="str">
        <x:v>Melanie Living with Crohn's Fruit and vegetables It is recommended that people try to eat at least five portions of a variety of fruit and vegetables every day.</x:v>
      </x:c>
      <x:c r="N58" s="27" t="str">
        <x:v>Official Crohn’s &amp; Colitis UK webpage — heading "Fruit and vegetables"; first paragraph</x:v>
      </x:c>
      <x:c r="O58" s="27" t="str">
        <x:v>official_patient_information</x:v>
      </x:c>
      <x:c r="P58" s="27" t="str"/>
      <x:c r="Q58" s="27" t="str">
        <x:v>official patient information</x:v>
      </x:c>
      <x:c r="R58" s="27" t="str">
        <x:v>Adults with IBD and caregivers</x:v>
      </x:c>
      <x:c r="S58" s="27" t="str">
        <x:v>Not applicable</x:v>
      </x:c>
      <x:c r="T58" s="27" t="str">
        <x:v>Patient information is explanatory, not a substitute for clinical evidence or individualized care.</x:v>
      </x:c>
      <x:c r="U58" s="27" t="str">
        <x:v>United Kingdom source; Canadian and US food environments, labelling, dietetic access, and care pathways may differ.</x:v>
      </x:c>
      <x:c r="V58" s="27" t="str"/>
      <x:c r="W58" s="27" t="str">
        <x:v>moderate</x:v>
      </x:c>
      <x:c r="X58" s="27" t="str">
        <x:v>ready_for_human_review</x:v>
      </x:c>
      <x:c r="Y58" s="27" t="str">
        <x:v>pending_human_review</x:v>
      </x:c>
      <x:c r="Z58" s="30" t="str"/>
      <x:c r="AA58" s="30" t="str"/>
      <x:c r="AB58" s="30" t="str"/>
    </x:row>
    <x:row r="59" ht="92" customHeight="1">
      <x:c r="A59" s="27" t="str">
        <x:v>CLM-094</x:v>
      </x:c>
      <x:c r="B59" s="27" t="str">
        <x:v>SRC-025</x:v>
      </x:c>
      <x:c r="C59" s="27" t="str"/>
      <x:c r="D59" s="27" t="str">
        <x:v>Food and IBD</x:v>
      </x:c>
      <x:c r="E59" s="27" t="str">
        <x:v>fibre</x:v>
      </x:c>
      <x:c r="F59" s="27" t="str">
        <x:v>ulcerative_colitis; crohns_disease; ibd_general</x:v>
      </x:c>
      <x:c r="G59" s="27" t="str">
        <x:v>general_or_unspecified</x:v>
      </x:c>
      <x:c r="H59" s="27" t="str">
        <x:v>Guidelines recommend that you eat 30g of fibre a day.</x:v>
      </x:c>
      <x:c r="I59" s="27" t="str">
        <x:v>The cited source reports that guidelines recommend that you eat 30g of fibre a day. The webpage version date should be confirmed before approval.</x:v>
      </x:c>
      <x:c r="J59" s="27" t="str">
        <x:v>The cited source reports that guidelines recommend that you eat 30g of fibre a day. The webpage version date should be confirmed before approval.</x:v>
      </x:c>
      <x:c r="K59" s="27" t="str">
        <x:v>Remove webpage extraction artifacts and present the material as general education, not individualized diet advice.</x:v>
      </x:c>
      <x:c r="L59" s="27" t="str">
        <x:v>Remove webpage extraction artifacts and present the material as general education, not individualized diet advice.</x:v>
      </x:c>
      <x:c r="M59" s="27" t="str">
        <x:v>Guidelines recommend that you eat 30g of fibre a day.</x:v>
      </x:c>
      <x:c r="N59" s="27" t="str">
        <x:v>Official Crohn’s &amp; Colitis UK webpage — heading "Fibre"; first paragraph</x:v>
      </x:c>
      <x:c r="O59" s="27" t="str">
        <x:v>official_patient_information</x:v>
      </x:c>
      <x:c r="P59" s="27" t="str"/>
      <x:c r="Q59" s="27" t="str">
        <x:v>official patient information</x:v>
      </x:c>
      <x:c r="R59" s="27" t="str">
        <x:v>Adults with IBD and caregivers</x:v>
      </x:c>
      <x:c r="S59" s="27" t="str">
        <x:v>Not applicable</x:v>
      </x:c>
      <x:c r="T59" s="27" t="str">
        <x:v>Patient information is explanatory, not a substitute for clinical evidence or individualized care.</x:v>
      </x:c>
      <x:c r="U59" s="27" t="str">
        <x:v>United Kingdom source; Canadian and US food environments, labelling, dietetic access, and care pathways may differ.</x:v>
      </x:c>
      <x:c r="V59" s="27" t="str"/>
      <x:c r="W59" s="27" t="str">
        <x:v>moderate</x:v>
      </x:c>
      <x:c r="X59" s="27" t="str">
        <x:v>ready_for_human_review</x:v>
      </x:c>
      <x:c r="Y59" s="27" t="str">
        <x:v>pending_human_review</x:v>
      </x:c>
      <x:c r="Z59" s="30" t="str"/>
      <x:c r="AA59" s="30" t="str"/>
      <x:c r="AB59" s="30" t="str"/>
    </x:row>
    <x:row r="60" ht="92" customHeight="1">
      <x:c r="A60" s="27" t="str">
        <x:v>CLM-095</x:v>
      </x:c>
      <x:c r="B60" s="27" t="str">
        <x:v>SRC-025</x:v>
      </x:c>
      <x:c r="C60" s="27" t="str"/>
      <x:c r="D60" s="27" t="str">
        <x:v>Food and IBD</x:v>
      </x:c>
      <x:c r="E60" s="27" t="str">
        <x:v>alcohol</x:v>
      </x:c>
      <x:c r="F60" s="27" t="str">
        <x:v>ulcerative_colitis; crohns_disease; ibd_general</x:v>
      </x:c>
      <x:c r="G60" s="27" t="str">
        <x:v>general_or_unspecified</x:v>
      </x:c>
      <x:c r="H60" s="27" t="str">
        <x:v>Alcohol There is not enough high-quality evidence to know for certain if drinking alcohol could increase your risk of a flare-up.</x:v>
      </x:c>
      <x:c r="I60" s="27" t="str">
        <x:v>The cited source reports that there is not enough high-quality evidence to know for certain if drinking alcohol could increase your risk of a flare-up. This is population-level association evidence and does not establish causation or predict an individual's disease course. The webpage version date should be confirmed before approval.</x:v>
      </x:c>
      <x:c r="J60" s="27" t="str">
        <x:v>The cited source reports that there is not enough high-quality evidence to know for certain if drinking alcohol could increase your risk of a flare-up. This is population-level association evidence and does not establish causation or predict an individual's disease course. The webpage version date should be confirmed before approval.</x:v>
      </x:c>
      <x:c r="K60" s="27" t="str">
        <x:v>Keep the observational or incidence framing explicit; do not convert association into causal or individual disease-course advice.</x:v>
      </x:c>
      <x:c r="L60" s="27" t="str">
        <x:v>Keep the observational or incidence framing explicit; do not convert association into causal or individual disease-course advice.</x:v>
      </x:c>
      <x:c r="M60" s="27" t="str">
        <x:v>Alcohol There is not enough high-quality evidence to know for certain if drinking alcohol could increase your risk of a flare-up.</x:v>
      </x:c>
      <x:c r="N60" s="27" t="str">
        <x:v>Official Crohn’s &amp; Colitis UK webpage — heading "Alcohol"; first paragraph</x:v>
      </x:c>
      <x:c r="O60" s="27" t="str">
        <x:v>official_patient_information</x:v>
      </x:c>
      <x:c r="P60" s="27" t="str"/>
      <x:c r="Q60" s="27" t="str">
        <x:v>official patient information</x:v>
      </x:c>
      <x:c r="R60" s="27" t="str">
        <x:v>Adults with IBD and caregivers</x:v>
      </x:c>
      <x:c r="S60" s="27" t="str">
        <x:v>Not applicable</x:v>
      </x:c>
      <x:c r="T60" s="27" t="str">
        <x:v>Patient information is explanatory, not a substitute for clinical evidence or individualized care.</x:v>
      </x:c>
      <x:c r="U60" s="27" t="str">
        <x:v>United Kingdom source; Canadian and US food environments, labelling, dietetic access, and care pathways may differ.</x:v>
      </x:c>
      <x:c r="V60" s="27" t="str"/>
      <x:c r="W60" s="27" t="str">
        <x:v>moderate</x:v>
      </x:c>
      <x:c r="X60" s="27" t="str">
        <x:v>ready_for_human_review</x:v>
      </x:c>
      <x:c r="Y60" s="27" t="str">
        <x:v>pending_human_review</x:v>
      </x:c>
      <x:c r="Z60" s="30" t="str"/>
      <x:c r="AA60" s="30" t="str"/>
      <x:c r="AB60" s="30" t="str"/>
    </x:row>
    <x:row r="61" ht="92" customHeight="1">
      <x:c r="A61" s="27" t="str">
        <x:v>CLM-096</x:v>
      </x:c>
      <x:c r="B61" s="27" t="str">
        <x:v>SRC-026</x:v>
      </x:c>
      <x:c r="C61" s="27" t="str">
        <x:v>CLM-010</x:v>
      </x:c>
      <x:c r="D61" s="27" t="str"/>
      <x:c r="E61" s="27" t="str"/>
      <x:c r="F61" s="27" t="str"/>
      <x:c r="G61" s="27" t="str"/>
      <x:c r="H61" s="27" t="str">
        <x:v>The recommended perioperative management of patients with IBD undergoing surgery accords with general ESPEN guidance for patients having abdominal surgery.</x:v>
      </x:c>
      <x:c r="I61" s="27" t="str">
        <x:v>The cited source reports that the recommended perioperative management of patients with IBD undergoing surgery accords with general ESPEN guidance for patients having abdominal surgery. This is source-attributed information, not a treatment recommendation for an individual.</x:v>
      </x:c>
      <x:c r="J61" s="27" t="str">
        <x:v>The 2023 ESPEN guideline states that perioperative nutrition principles from its surgery guideline apply to IBD surgical care, while noting that IBD-specific ERAS evidence is sparse.</x:v>
      </x:c>
      <x:c r="K61" s="27" t="str"/>
      <x:c r="L61" s="27" t="str">
        <x:v>Replaced the superseded 2017 source with the 2023 ESPEN update and preserved the guideline’s evidence limitation.</x:v>
      </x:c>
      <x:c r="M61" s="27" t="str">
        <x:v>The recommendations have been adapted from the ESPEN Guideline: Clinical Nutrition in Surgery in a slightly modified way since the principles apply equally to the IBD patient undergoing surgical intervention. Evidence of ERAS in patients with IBD is sparse.</x:v>
      </x:c>
      <x:c r="N61" s="27" t="str">
        <x:v>Official ESPEN PDF — journal page 363, Recommendations 40–41 commentary, first paragraph</x:v>
      </x:c>
      <x:c r="O61" s="27" t="str"/>
      <x:c r="P61" s="27" t="str">
        <x:v>guideline; partly extrapolated</x:v>
      </x:c>
      <x:c r="Q61" s="27" t="str"/>
      <x:c r="R61" s="27" t="str"/>
      <x:c r="S61" s="27" t="str"/>
      <x:c r="T61" s="27" t="str">
        <x:v>Clinician-led perioperative context only; not individualized dietary advice.</x:v>
      </x:c>
      <x:c r="U61" s="27" t="str"/>
      <x:c r="V61" s="27" t="str">
        <x:v>portable_with_qualification</x:v>
      </x:c>
      <x:c r="W61" s="27" t="str"/>
      <x:c r="X61" s="27" t="str">
        <x:v>ready_for_human_review</x:v>
      </x:c>
      <x:c r="Y61" s="27" t="str">
        <x:v>pending_human_review</x:v>
      </x:c>
      <x:c r="Z61" s="30" t="str"/>
      <x:c r="AA61" s="30" t="str"/>
      <x:c r="AB61" s="30" t="str"/>
    </x:row>
    <x:row r="62" ht="92" customHeight="1">
      <x:c r="A62" s="28" t="str">
        <x:v>CLM-097</x:v>
      </x:c>
      <x:c r="B62" s="28" t="str">
        <x:v>SRC-026</x:v>
      </x:c>
      <x:c r="C62" s="28" t="str">
        <x:v>CLM-011</x:v>
      </x:c>
      <x:c r="D62" s="28" t="str"/>
      <x:c r="E62" s="28" t="str"/>
      <x:c r="F62" s="28" t="str"/>
      <x:c r="G62" s="28" t="str"/>
      <x:c r="H62" s="28" t="str">
        <x:v>However, exclusion diets are generally not recommended and there is little evidence to support any particular formula feed when nutritional regimens are constructed.</x:v>
      </x:c>
      <x:c r="I62" s="28" t="str">
        <x:v>The cited source reports that however, exclusion diets are generally not recommended and there is little evidence to support any particular formula feed when nutritional regimens are constructed. This is source-attributed information, not a treatment recommendation for an individual.</x:v>
      </x:c>
      <x:c r="J62" s="28" t="str">
        <x:v>The 2023 ESPEN guideline does not recommend a single oral diet for all active IBD, but it supports selected Crohn’s disease exclusion-diet approaches for defined subgroups and notes limited long-term safety data.</x:v>
      </x:c>
      <x:c r="K62" s="28" t="str"/>
      <x:c r="L62" s="28" t="str">
        <x:v>The 2017 blanket wording is no longer current; the 2023 update supports narrower subgroup-specific diet options.</x:v>
      </x:c>
      <x:c r="M62" s="28" t="str">
        <x:v>Therefore, no “oral IBD diet” can be generally recommended to promote remission in patients with IBD with active disease.</x:v>
      </x:c>
      <x:c r="N62" s="28" t="str">
        <x:v>Official ESPEN PDF — journal page 357, text immediately before Recommendation 16</x:v>
      </x:c>
      <x:c r="O62" s="28" t="str"/>
      <x:c r="P62" s="28" t="str">
        <x:v>updated guideline</x:v>
      </x:c>
      <x:c r="Q62" s="28" t="str"/>
      <x:c r="R62" s="28" t="str"/>
      <x:c r="S62" s="28" t="str"/>
      <x:c r="T62" s="28" t="str">
        <x:v>Subgroup-specific; requires IBD-specialist dietitian/clinician oversight.</x:v>
      </x:c>
      <x:c r="U62" s="28" t="str"/>
      <x:c r="V62" s="28" t="str">
        <x:v>portable_with_qualification</x:v>
      </x:c>
      <x:c r="W62" s="28" t="str"/>
      <x:c r="X62" s="28" t="str">
        <x:v>ready_for_human_review</x:v>
      </x:c>
      <x:c r="Y62" s="28" t="str">
        <x:v>pending_human_review</x:v>
      </x:c>
      <x:c r="Z62" s="31" t="str"/>
      <x:c r="AA62" s="31" t="str"/>
      <x:c r="AB62" s="31" t="str"/>
    </x:row>
  </x:sheetData>
  <x:mergeCells>
    <x:mergeCell ref="A1:AB1"/>
    <x:mergeCell ref="A2:AB2"/>
  </x:mergeCells>
  <x:conditionalFormatting sqref="X5:X62">
    <x:cfRule type="containsText" dxfId="7" priority="1" operator="containsText" text="verified"/>
    <x:cfRule type="containsText" dxfId="8" priority="2" operator="containsText" text="ready"/>
    <x:cfRule type="containsText" dxfId="9" priority="3" operator="containsText" text="partial"/>
    <x:cfRule type="containsText" dxfId="10" priority="4" operator="containsText" text="needs"/>
    <x:cfRule type="containsText" dxfId="11" priority="5" operator="containsText" text="unresolved"/>
    <x:cfRule type="containsText" dxfId="12" priority="6" operator="containsText" text="superseded"/>
    <x:cfRule type="containsText" dxfId="13" priority="7" operator="containsText" text="removed"/>
  </x:conditionalFormatting>
  <x:pageMargins left="0.7" right="0.7" top="0.75" bottom="0.75" header="0.3" footer="0.3"/>
  <x:tableParts count="1">
    <x:tablePart xmlns:r="http://schemas.openxmlformats.org/officeDocument/2006/relationships" r:id="R0ae632fb8a9c4f3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13" hidden="0" customWidth="1"/>
    <x:col min="3" max="3" width="44" hidden="0" customWidth="1"/>
    <x:col min="4" max="4" width="26" hidden="0" customWidth="1"/>
    <x:col min="5" max="5" width="10" hidden="0" customWidth="1"/>
    <x:col min="6" max="6" width="28" hidden="0" customWidth="1"/>
    <x:col min="7" max="7" width="18" hidden="0" customWidth="1"/>
    <x:col min="8" max="8" width="28" hidden="0" customWidth="1"/>
    <x:col min="9" max="9" width="18" hidden="0" customWidth="1"/>
    <x:col min="10" max="10" width="20" hidden="0" customWidth="1"/>
    <x:col min="11" max="11" width="14" hidden="0" customWidth="1"/>
    <x:col min="12" max="12" width="14" hidden="0" customWidth="1"/>
    <x:col min="13" max="13" width="14" hidden="0" customWidth="1"/>
    <x:col min="14" max="14" width="22" hidden="0" customWidth="1"/>
    <x:col min="15" max="15" width="45" hidden="0" customWidth="1"/>
    <x:col min="16" max="16" width="46" hidden="0" customWidth="1"/>
    <x:col min="17" max="17" width="28" hidden="0" customWidth="1"/>
    <x:col min="18" max="18" width="23" hidden="0" customWidth="1"/>
  </x:cols>
  <x:sheetData>
    <x:row r="1" ht="31" customHeight="1">
      <x:c r="A1" s="3" t="str">
        <x:v>Source mapping audit — 11 corrected records</x:v>
      </x:c>
      <x:c r="B1" s="3"/>
      <x:c r="C1" s="3"/>
      <x:c r="D1" s="3"/>
      <x:c r="E1" s="3"/>
      <x:c r="F1" s="3"/>
      <x:c r="G1" s="3"/>
      <x:c r="H1" s="3"/>
      <x:c r="I1" s="3"/>
      <x:c r="J1" s="3"/>
      <x:c r="K1" s="3"/>
      <x:c r="L1" s="3"/>
      <x:c r="M1" s="3"/>
      <x:c r="N1" s="3"/>
      <x:c r="O1" s="3"/>
      <x:c r="P1" s="3"/>
      <x:c r="Q1" s="3"/>
      <x:c r="R1" s="3"/>
    </x:row>
    <x:row r="2" ht="44" customHeight="1">
      <x:c r="A2" s="7" t="str">
        <x:v>Each rejected DOI/PMCID pairing is retained beside the corrected identity and archive location. No incorrect full text remains in the active evidence set.</x:v>
      </x:c>
      <x:c r="B2" s="7"/>
      <x:c r="C2" s="7"/>
      <x:c r="D2" s="7"/>
      <x:c r="E2" s="7"/>
      <x:c r="F2" s="7"/>
      <x:c r="G2" s="7"/>
      <x:c r="H2" s="7"/>
      <x:c r="I2" s="7"/>
      <x:c r="J2" s="7"/>
      <x:c r="K2" s="7"/>
      <x:c r="L2" s="7"/>
      <x:c r="M2" s="7"/>
      <x:c r="N2" s="7"/>
      <x:c r="O2" s="7"/>
      <x:c r="P2" s="7"/>
      <x:c r="Q2" s="7"/>
      <x:c r="R2" s="7"/>
    </x:row>
    <x:row r="4" ht="40" customHeight="1">
      <x:c r="A4" s="16" t="str">
        <x:v>Source ID</x:v>
      </x:c>
      <x:c r="B4" s="17" t="str">
        <x:v>PMID</x:v>
      </x:c>
      <x:c r="C4" s="17" t="str">
        <x:v>Verified title</x:v>
      </x:c>
      <x:c r="D4" s="17" t="str">
        <x:v>Verified first author</x:v>
      </x:c>
      <x:c r="E4" s="17" t="str">
        <x:v>Year</x:v>
      </x:c>
      <x:c r="F4" s="17" t="str">
        <x:v>Incorrect DOI</x:v>
      </x:c>
      <x:c r="G4" s="17" t="str">
        <x:v>Incorrect PMCID</x:v>
      </x:c>
      <x:c r="H4" s="17" t="str">
        <x:v>Corrected DOI</x:v>
      </x:c>
      <x:c r="I4" s="17" t="str">
        <x:v>Corrected PMCID</x:v>
      </x:c>
      <x:c r="J4" s="17" t="str">
        <x:v>Identifier consistency</x:v>
      </x:c>
      <x:c r="K4" s="17" t="str">
        <x:v>Title match</x:v>
      </x:c>
      <x:c r="L4" s="17" t="str">
        <x:v>Author match</x:v>
      </x:c>
      <x:c r="M4" s="17" t="str">
        <x:v>Year match</x:v>
      </x:c>
      <x:c r="N4" s="17" t="str">
        <x:v>Wrong mapping rejected</x:v>
      </x:c>
      <x:c r="O4" s="17" t="str">
        <x:v>Incorrect file archive</x:v>
      </x:c>
      <x:c r="P4" s="17" t="str">
        <x:v>Correct public copy</x:v>
      </x:c>
      <x:c r="Q4" s="17" t="str">
        <x:v>Audit outcome</x:v>
      </x:c>
      <x:c r="R4" s="18" t="str">
        <x:v>Review status</x:v>
      </x:c>
    </x:row>
    <x:row r="5" ht="78" customHeight="1">
      <x:c r="A5" s="26" t="str">
        <x:v>SRC-004</x:v>
      </x:c>
      <x:c r="B5" s="26" t="str">
        <x:v>38599319</x:v>
      </x:c>
      <x:c r="C5" s="26" t="str">
        <x:v>Diet, Food, and Nutritional Exposures and Inflammatory Bowel Disease or Progression of Disease: an Umbrella Review.</x:v>
      </x:c>
      <x:c r="D5" s="26" t="str">
        <x:v>Camilla Christensen</x:v>
      </x:c>
      <x:c r="E5" s="26" t="n">
        <x:v>2024</x:v>
      </x:c>
      <x:c r="F5" s="26" t="str">
        <x:v>10.3390/microorganisms8111638</x:v>
      </x:c>
      <x:c r="G5" s="26" t="str">
        <x:v>PMC7690730</x:v>
      </x:c>
      <x:c r="H5" s="26" t="str">
        <x:v>10.1016/j.advnut.2024.100219</x:v>
      </x:c>
      <x:c r="I5" s="26" t="str">
        <x:v>PMC11063602</x:v>
      </x:c>
      <x:c r="J5" s="26" t="str">
        <x:v>pass</x:v>
      </x:c>
      <x:c r="K5" s="26" t="str">
        <x:v>pass</x:v>
      </x:c>
      <x:c r="L5" s="26" t="str">
        <x:v>pass</x:v>
      </x:c>
      <x:c r="M5" s="26" t="str">
        <x:v>pass</x:v>
      </x:c>
      <x:c r="N5" s="26" t="str">
        <x:v>yes</x:v>
      </x:c>
      <x:c r="O5" s="26" t="str">
        <x:v>/Users/janakirampulipati/ibd-research-review/archive/incorrect-source-mappings</x:v>
      </x:c>
      <x:c r="P5" s="26" t="str">
        <x:v>/Users/janakirampulipati/ibd-research-review/sources/remediated/PMC11063602.xml</x:v>
      </x:c>
      <x:c r="Q5" s="26" t="str">
        <x:v>corrected_and_reverified</x:v>
      </x:c>
      <x:c r="R5" s="26" t="str">
        <x:v>pending_human_review</x:v>
      </x:c>
    </x:row>
    <x:row r="6" ht="78" customHeight="1">
      <x:c r="A6" s="27" t="str">
        <x:v>SRC-006</x:v>
      </x:c>
      <x:c r="B6" s="27" t="str">
        <x:v>40844310</x:v>
      </x:c>
      <x:c r="C6" s="27" t="str">
        <x:v>Dietary fat is associated with increased inflammatory bowel disease onset risk: a systematic review and dose-response meta-analysis.</x:v>
      </x:c>
      <x:c r="D6" s="27" t="str">
        <x:v>Song Zhang</x:v>
      </x:c>
      <x:c r="E6" s="27" t="n">
        <x:v>2025</x:v>
      </x:c>
      <x:c r="F6" s="27" t="str">
        <x:v>10.1097/JS9.0000000000003019</x:v>
      </x:c>
      <x:c r="G6" s="27" t="str">
        <x:v>PMC5250567</x:v>
      </x:c>
      <x:c r="H6" s="27" t="str">
        <x:v>10.1097/JS9.0000000000003019</x:v>
      </x:c>
      <x:c r="I6" s="27" t="str">
        <x:v>PMC12626460</x:v>
      </x:c>
      <x:c r="J6" s="27" t="str">
        <x:v>pass</x:v>
      </x:c>
      <x:c r="K6" s="27" t="str">
        <x:v>pass</x:v>
      </x:c>
      <x:c r="L6" s="27" t="str">
        <x:v>pass</x:v>
      </x:c>
      <x:c r="M6" s="27" t="str">
        <x:v>pass</x:v>
      </x:c>
      <x:c r="N6" s="27" t="str">
        <x:v>yes</x:v>
      </x:c>
      <x:c r="O6" s="27" t="str">
        <x:v>/Users/janakirampulipati/ibd-research-review/archive/incorrect-source-mappings</x:v>
      </x:c>
      <x:c r="P6" s="27" t="str">
        <x:v>/Users/janakirampulipati/ibd-research-review/sources/remediated/PMC12626460.xml</x:v>
      </x:c>
      <x:c r="Q6" s="27" t="str">
        <x:v>corrected_and_reverified</x:v>
      </x:c>
      <x:c r="R6" s="27" t="str">
        <x:v>pending_human_review</x:v>
      </x:c>
    </x:row>
    <x:row r="7" ht="78" customHeight="1">
      <x:c r="A7" s="27" t="str">
        <x:v>SRC-007</x:v>
      </x:c>
      <x:c r="B7" s="27" t="str">
        <x:v>27411934</x:v>
      </x:c>
      <x:c r="C7" s="27" t="str">
        <x:v>Systematic review and meta-analysis of lactose digestion, its impact on intolerance and nutritional effects of dairy food restriction in inflammatory bowel diseases.</x:v>
      </x:c>
      <x:c r="D7" s="27" t="str">
        <x:v>Andrew Szilagyi</x:v>
      </x:c>
      <x:c r="E7" s="27" t="n">
        <x:v>2016</x:v>
      </x:c>
      <x:c r="F7" s="27" t="str">
        <x:v>10.2174/1389450116666150202161500</x:v>
      </x:c>
      <x:c r="G7" s="27" t="str">
        <x:v>PMC4366573</x:v>
      </x:c>
      <x:c r="H7" s="27" t="str">
        <x:v>10.1186/s12937-016-0183-8</x:v>
      </x:c>
      <x:c r="I7" s="27" t="str">
        <x:v>PMC4942986</x:v>
      </x:c>
      <x:c r="J7" s="27" t="str">
        <x:v>pass</x:v>
      </x:c>
      <x:c r="K7" s="27" t="str">
        <x:v>pass</x:v>
      </x:c>
      <x:c r="L7" s="27" t="str">
        <x:v>pass</x:v>
      </x:c>
      <x:c r="M7" s="27" t="str">
        <x:v>pass</x:v>
      </x:c>
      <x:c r="N7" s="27" t="str">
        <x:v>yes</x:v>
      </x:c>
      <x:c r="O7" s="27" t="str">
        <x:v>/Users/janakirampulipati/ibd-research-review/archive/incorrect-source-mappings</x:v>
      </x:c>
      <x:c r="P7" s="27" t="str">
        <x:v>/Users/janakirampulipati/ibd-research-review/sources/remediated/PMC4942986.xml</x:v>
      </x:c>
      <x:c r="Q7" s="27" t="str">
        <x:v>corrected_and_reverified</x:v>
      </x:c>
      <x:c r="R7" s="27" t="str">
        <x:v>pending_human_review</x:v>
      </x:c>
    </x:row>
    <x:row r="8" ht="78" customHeight="1">
      <x:c r="A8" s="27" t="str">
        <x:v>SRC-008</x:v>
      </x:c>
      <x:c r="B8" s="27" t="str">
        <x:v>37686856</x:v>
      </x:c>
      <x:c r="C8" s="27" t="str">
        <x:v>Nutrition, Nutritional Status, Micronutrients Deficiency, and Disease Course of Inflammatory Bowel Disease.</x:v>
      </x:c>
      <x:c r="D8" s="27" t="str">
        <x:v>Marco Valvano</x:v>
      </x:c>
      <x:c r="E8" s="27" t="n">
        <x:v>2023</x:v>
      </x:c>
      <x:c r="F8" s="27" t="str">
        <x:v>10.1007/s10350-007-9003-8</x:v>
      </x:c>
      <x:c r="G8" s="27" t="str">
        <x:v>PMC6314770</x:v>
      </x:c>
      <x:c r="H8" s="27" t="str">
        <x:v>10.3390/nu15173824</x:v>
      </x:c>
      <x:c r="I8" s="27" t="str">
        <x:v>PMC10489664</x:v>
      </x:c>
      <x:c r="J8" s="27" t="str">
        <x:v>pass</x:v>
      </x:c>
      <x:c r="K8" s="27" t="str">
        <x:v>pass</x:v>
      </x:c>
      <x:c r="L8" s="27" t="str">
        <x:v>pass</x:v>
      </x:c>
      <x:c r="M8" s="27" t="str">
        <x:v>pass</x:v>
      </x:c>
      <x:c r="N8" s="27" t="str">
        <x:v>yes</x:v>
      </x:c>
      <x:c r="O8" s="27" t="str">
        <x:v>/Users/janakirampulipati/ibd-research-review/archive/incorrect-source-mappings</x:v>
      </x:c>
      <x:c r="P8" s="27" t="str">
        <x:v>/Users/janakirampulipati/ibd-research-review/sources/remediated/PMC10489664.xml</x:v>
      </x:c>
      <x:c r="Q8" s="27" t="str">
        <x:v>corrected_and_reverified</x:v>
      </x:c>
      <x:c r="R8" s="27" t="str">
        <x:v>pending_human_review</x:v>
      </x:c>
    </x:row>
    <x:row r="9" ht="78" customHeight="1">
      <x:c r="A9" s="27" t="str">
        <x:v>SRC-009</x:v>
      </x:c>
      <x:c r="B9" s="27" t="str">
        <x:v>36406652</x:v>
      </x:c>
      <x:c r="C9" s="27" t="str">
        <x:v>Systematic review and meta-analysis of sleep quality in inactive inflammatory bowel disease.</x:v>
      </x:c>
      <x:c r="D9" s="27" t="str">
        <x:v>Alex Barnes</x:v>
      </x:c>
      <x:c r="E9" s="27" t="n">
        <x:v>2022</x:v>
      </x:c>
      <x:c r="F9" s="27" t="str">
        <x:v>10.1002/jgh3.12817</x:v>
      </x:c>
      <x:c r="G9" s="27" t="str">
        <x:v>PMC8719151</x:v>
      </x:c>
      <x:c r="H9" s="27" t="str">
        <x:v>10.1002/jgh3.12817</x:v>
      </x:c>
      <x:c r="I9" s="27" t="str">
        <x:v>PMC9667405</x:v>
      </x:c>
      <x:c r="J9" s="27" t="str">
        <x:v>pass</x:v>
      </x:c>
      <x:c r="K9" s="27" t="str">
        <x:v>pass</x:v>
      </x:c>
      <x:c r="L9" s="27" t="str">
        <x:v>pass</x:v>
      </x:c>
      <x:c r="M9" s="27" t="str">
        <x:v>pass</x:v>
      </x:c>
      <x:c r="N9" s="27" t="str">
        <x:v>yes</x:v>
      </x:c>
      <x:c r="O9" s="27" t="str">
        <x:v>/Users/janakirampulipati/ibd-research-review/archive/incorrect-source-mappings</x:v>
      </x:c>
      <x:c r="P9" s="27" t="str">
        <x:v>/Users/janakirampulipati/ibd-research-review/sources/remediated/PMC9667405.xml</x:v>
      </x:c>
      <x:c r="Q9" s="27" t="str">
        <x:v>corrected_and_reverified</x:v>
      </x:c>
      <x:c r="R9" s="27" t="str">
        <x:v>pending_human_review</x:v>
      </x:c>
    </x:row>
    <x:row r="10" ht="78" customHeight="1">
      <x:c r="A10" s="27" t="str">
        <x:v>SRC-010</x:v>
      </x:c>
      <x:c r="B10" s="27" t="str">
        <x:v>32738908</x:v>
      </x:c>
      <x:c r="C10" s="27" t="str">
        <x:v>Assessment of causal link between psychological factors and symptom exacerbation in inflammatory bowel disease: a systematic review utilising Bradford Hill criteria and meta-analysis of prospective cohort studies.</x:v>
      </x:c>
      <x:c r="D10" s="27" t="str">
        <x:v>Mariyana Schoultz</x:v>
      </x:c>
      <x:c r="E10" s="27" t="n">
        <x:v>2020</x:v>
      </x:c>
      <x:c r="F10" s="27" t="str">
        <x:v>10.1186/s13643-020-01426-2</x:v>
      </x:c>
      <x:c r="G10" s="27" t="str">
        <x:v>PMC1513293</x:v>
      </x:c>
      <x:c r="H10" s="27" t="str">
        <x:v>10.1186/s13643-020-01426-2</x:v>
      </x:c>
      <x:c r="I10" s="27" t="str">
        <x:v>PMC7395978</x:v>
      </x:c>
      <x:c r="J10" s="27" t="str">
        <x:v>pass</x:v>
      </x:c>
      <x:c r="K10" s="27" t="str">
        <x:v>pass</x:v>
      </x:c>
      <x:c r="L10" s="27" t="str">
        <x:v>pass</x:v>
      </x:c>
      <x:c r="M10" s="27" t="str">
        <x:v>pass</x:v>
      </x:c>
      <x:c r="N10" s="27" t="str">
        <x:v>yes</x:v>
      </x:c>
      <x:c r="O10" s="27" t="str">
        <x:v>/Users/janakirampulipati/ibd-research-review/archive/incorrect-source-mappings</x:v>
      </x:c>
      <x:c r="P10" s="27" t="str">
        <x:v>/Users/janakirampulipati/ibd-research-review/sources/remediated/PMC7395978.xml</x:v>
      </x:c>
      <x:c r="Q10" s="27" t="str">
        <x:v>corrected_and_reverified</x:v>
      </x:c>
      <x:c r="R10" s="27" t="str">
        <x:v>pending_human_review</x:v>
      </x:c>
    </x:row>
    <x:row r="11" ht="78" customHeight="1">
      <x:c r="A11" s="27" t="str">
        <x:v>SRC-011</x:v>
      </x:c>
      <x:c r="B11" s="27" t="str">
        <x:v>33186988</x:v>
      </x:c>
      <x:c r="C11" s="27" t="str">
        <x:v>Association of Dietary Fiber, Fruit, and Vegetable Consumption with Risk of Inflammatory Bowel Disease: A Systematic Review and Meta-Analysis.</x:v>
      </x:c>
      <x:c r="D11" s="27" t="str">
        <x:v>Alireza Milajerdi</x:v>
      </x:c>
      <x:c r="E11" s="27" t="n">
        <x:v>2021</x:v>
      </x:c>
      <x:c r="F11" s="27" t="str">
        <x:v>10.1093/advances/nmaa145</x:v>
      </x:c>
      <x:c r="G11" s="27" t="str">
        <x:v>PMC3649719</x:v>
      </x:c>
      <x:c r="H11" s="27" t="str">
        <x:v>10.1093/advances/nmaa145</x:v>
      </x:c>
      <x:c r="I11" s="27" t="str">
        <x:v>PMC8166559</x:v>
      </x:c>
      <x:c r="J11" s="27" t="str">
        <x:v>pass</x:v>
      </x:c>
      <x:c r="K11" s="27" t="str">
        <x:v>pass</x:v>
      </x:c>
      <x:c r="L11" s="27" t="str">
        <x:v>pass</x:v>
      </x:c>
      <x:c r="M11" s="27" t="str">
        <x:v>pass</x:v>
      </x:c>
      <x:c r="N11" s="27" t="str">
        <x:v>yes</x:v>
      </x:c>
      <x:c r="O11" s="27" t="str">
        <x:v>/Users/janakirampulipati/ibd-research-review/archive/incorrect-source-mappings</x:v>
      </x:c>
      <x:c r="P11" s="27" t="str">
        <x:v>/Users/janakirampulipati/ibd-research-review/sources/remediated/PMC8166559.xml</x:v>
      </x:c>
      <x:c r="Q11" s="27" t="str">
        <x:v>corrected_and_reverified</x:v>
      </x:c>
      <x:c r="R11" s="27" t="str">
        <x:v>pending_human_review</x:v>
      </x:c>
    </x:row>
    <x:row r="12" ht="78" customHeight="1">
      <x:c r="A12" s="27" t="str">
        <x:v>SRC-013</x:v>
      </x:c>
      <x:c r="B12" s="27" t="str">
        <x:v>38388570</x:v>
      </x:c>
      <x:c r="C12" s="27" t="str">
        <x:v>Ultra-processed foods and food additives in gut health and disease.</x:v>
      </x:c>
      <x:c r="D12" s="27" t="str">
        <x:v>Kevin Whelan</x:v>
      </x:c>
      <x:c r="E12" s="27" t="n">
        <x:v>2024</x:v>
      </x:c>
      <x:c r="F12" s="27" t="str">
        <x:v>10.1128/microbiolspec.BAD-0010-2016</x:v>
      </x:c>
      <x:c r="G12" s="27" t="str">
        <x:v>5941818</x:v>
      </x:c>
      <x:c r="H12" s="27" t="str">
        <x:v>10.1038/s41575-024-00893-5</x:v>
      </x:c>
      <x:c r="I12" s="27" t="str"/>
      <x:c r="J12" s="27" t="str">
        <x:v>pass</x:v>
      </x:c>
      <x:c r="K12" s="27" t="str">
        <x:v>pass</x:v>
      </x:c>
      <x:c r="L12" s="27" t="str">
        <x:v>pass</x:v>
      </x:c>
      <x:c r="M12" s="27" t="str">
        <x:v>pass</x:v>
      </x:c>
      <x:c r="N12" s="27" t="str">
        <x:v>yes</x:v>
      </x:c>
      <x:c r="O12" s="27" t="str">
        <x:v>/Users/janakirampulipati/ibd-research-review/archive/incorrect-source-mappings</x:v>
      </x:c>
      <x:c r="P12" s="27" t="str">
        <x:v>No legal public full text located; verified abstract only</x:v>
      </x:c>
      <x:c r="Q12" s="27" t="str">
        <x:v>mismatch_removed_abstract_only</x:v>
      </x:c>
      <x:c r="R12" s="27" t="str">
        <x:v>pending_human_review</x:v>
      </x:c>
    </x:row>
    <x:row r="13" ht="78" customHeight="1">
      <x:c r="A13" s="27" t="str">
        <x:v>SRC-016</x:v>
      </x:c>
      <x:c r="B13" s="27" t="str">
        <x:v>34052278</x:v>
      </x:c>
      <x:c r="C13" s="27" t="str">
        <x:v>A Randomized Trial Comparing the Specific Carbohydrate Diet to a Mediterranean Diet in Adults With Crohn's Disease.</x:v>
      </x:c>
      <x:c r="D13" s="27" t="str">
        <x:v>James D Lewis</x:v>
      </x:c>
      <x:c r="E13" s="27" t="n">
        <x:v>2021</x:v>
      </x:c>
      <x:c r="F13" s="27" t="str">
        <x:v>10.1053/j.gastro.2021.05.047</x:v>
      </x:c>
      <x:c r="G13" s="27" t="str">
        <x:v>PMC6718954</x:v>
      </x:c>
      <x:c r="H13" s="27" t="str">
        <x:v>10.1053/j.gastro.2021.05.047</x:v>
      </x:c>
      <x:c r="I13" s="27" t="str">
        <x:v>PMC8396394</x:v>
      </x:c>
      <x:c r="J13" s="27" t="str">
        <x:v>pass</x:v>
      </x:c>
      <x:c r="K13" s="27" t="str">
        <x:v>pass</x:v>
      </x:c>
      <x:c r="L13" s="27" t="str">
        <x:v>pass</x:v>
      </x:c>
      <x:c r="M13" s="27" t="str">
        <x:v>pass</x:v>
      </x:c>
      <x:c r="N13" s="27" t="str">
        <x:v>yes</x:v>
      </x:c>
      <x:c r="O13" s="27" t="str">
        <x:v>/Users/janakirampulipati/ibd-research-review/archive/incorrect-source-mappings</x:v>
      </x:c>
      <x:c r="P13" s="27" t="str">
        <x:v>/Users/janakirampulipati/ibd-research-review/sources/remediated/PMC8396394.xml</x:v>
      </x:c>
      <x:c r="Q13" s="27" t="str">
        <x:v>corrected_and_reverified</x:v>
      </x:c>
      <x:c r="R13" s="27" t="str">
        <x:v>pending_human_review</x:v>
      </x:c>
    </x:row>
    <x:row r="14" ht="78" customHeight="1">
      <x:c r="A14" s="27" t="str">
        <x:v>SRC-018</x:v>
      </x:c>
      <x:c r="B14" s="27" t="str">
        <x:v>30872105</x:v>
      </x:c>
      <x:c r="C14" s="27" t="str">
        <x:v>A Diet Low in Red and Processed Meat Does Not Reduce Rate of Crohn's Disease Flares.</x:v>
      </x:c>
      <x:c r="D14" s="27" t="str">
        <x:v>Lindsey Albenberg</x:v>
      </x:c>
      <x:c r="E14" s="27" t="n">
        <x:v>2019</x:v>
      </x:c>
      <x:c r="F14" s="27" t="str">
        <x:v>10.1097/MPG.0b013e3181c92c53</x:v>
      </x:c>
      <x:c r="G14" s="27" t="str">
        <x:v>PMC5434712</x:v>
      </x:c>
      <x:c r="H14" s="27" t="str">
        <x:v>10.1053/j.gastro.2019.03.015</x:v>
      </x:c>
      <x:c r="I14" s="27" t="str">
        <x:v>PMC6726378</x:v>
      </x:c>
      <x:c r="J14" s="27" t="str">
        <x:v>pass</x:v>
      </x:c>
      <x:c r="K14" s="27" t="str">
        <x:v>pass</x:v>
      </x:c>
      <x:c r="L14" s="27" t="str">
        <x:v>pass</x:v>
      </x:c>
      <x:c r="M14" s="27" t="str">
        <x:v>pass</x:v>
      </x:c>
      <x:c r="N14" s="27" t="str">
        <x:v>yes</x:v>
      </x:c>
      <x:c r="O14" s="27" t="str">
        <x:v>/Users/janakirampulipati/ibd-research-review/archive/incorrect-source-mappings</x:v>
      </x:c>
      <x:c r="P14" s="27" t="str">
        <x:v>/Users/janakirampulipati/ibd-research-review/sources/remediated/PMC6726378.xml</x:v>
      </x:c>
      <x:c r="Q14" s="27" t="str">
        <x:v>corrected_and_reverified</x:v>
      </x:c>
      <x:c r="R14" s="27" t="str">
        <x:v>pending_human_review</x:v>
      </x:c>
    </x:row>
    <x:row r="15" ht="78" customHeight="1">
      <x:c r="A15" s="28" t="str">
        <x:v>SRC-020</x:v>
      </x:c>
      <x:c r="B15" s="28" t="str">
        <x:v>34261638</x:v>
      </x:c>
      <x:c r="C15" s="28" t="str">
        <x:v>Association of ultra-processed food intake with risk of inflammatory bowel disease: prospective cohort study.</x:v>
      </x:c>
      <x:c r="D15" s="28" t="str">
        <x:v>Neeraj Narula</x:v>
      </x:c>
      <x:c r="E15" s="28" t="n">
        <x:v>2021</x:v>
      </x:c>
      <x:c r="F15" s="28" t="str">
        <x:v>10.1080/16546628.2017.1305193</x:v>
      </x:c>
      <x:c r="G15" s="28" t="str">
        <x:v>PMC5404419</x:v>
      </x:c>
      <x:c r="H15" s="28" t="str">
        <x:v>10.1136/bmj.n1554</x:v>
      </x:c>
      <x:c r="I15" s="28" t="str">
        <x:v>PMC8279036</x:v>
      </x:c>
      <x:c r="J15" s="28" t="str">
        <x:v>pass</x:v>
      </x:c>
      <x:c r="K15" s="28" t="str">
        <x:v>pass</x:v>
      </x:c>
      <x:c r="L15" s="28" t="str">
        <x:v>pass</x:v>
      </x:c>
      <x:c r="M15" s="28" t="str">
        <x:v>pass</x:v>
      </x:c>
      <x:c r="N15" s="28" t="str">
        <x:v>yes</x:v>
      </x:c>
      <x:c r="O15" s="28" t="str">
        <x:v>/Users/janakirampulipati/ibd-research-review/archive/incorrect-source-mappings</x:v>
      </x:c>
      <x:c r="P15" s="28" t="str">
        <x:v>/Users/janakirampulipati/ibd-research-review/sources/remediated/PMC8279036.xml</x:v>
      </x:c>
      <x:c r="Q15" s="28" t="str">
        <x:v>corrected_and_reverified</x:v>
      </x:c>
      <x:c r="R15" s="28" t="str">
        <x:v>pending_human_review</x:v>
      </x:c>
    </x:row>
  </x:sheetData>
  <x:mergeCells>
    <x:mergeCell ref="A1:R1"/>
    <x:mergeCell ref="A2:R2"/>
  </x:mergeCells>
  <x:conditionalFormatting sqref="Q5:Q15">
    <x:cfRule type="containsText" dxfId="14" priority="1" operator="containsText" text="verified"/>
    <x:cfRule type="containsText" dxfId="15" priority="2" operator="containsText" text="ready"/>
    <x:cfRule type="containsText" dxfId="16" priority="3" operator="containsText" text="partial"/>
    <x:cfRule type="containsText" dxfId="17" priority="4" operator="containsText" text="needs"/>
    <x:cfRule type="containsText" dxfId="18" priority="5" operator="containsText" text="unresolved"/>
    <x:cfRule type="containsText" dxfId="19" priority="6" operator="containsText" text="superseded"/>
    <x:cfRule type="containsText" dxfId="20" priority="7" operator="containsText" text="removed"/>
  </x:conditionalFormatting>
  <x:pageMargins left="0.7" right="0.7" top="0.75" bottom="0.75" header="0.3" footer="0.3"/>
  <x:tableParts count="1">
    <x:tablePart xmlns:r="http://schemas.openxmlformats.org/officeDocument/2006/relationships" r:id="R7f4325aa662c4949"/>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58" hidden="0" customWidth="1"/>
    <x:col min="4" max="4" width="22" hidden="0" customWidth="1"/>
    <x:col min="5" max="5" width="20" hidden="0" customWidth="1"/>
    <x:col min="6" max="6" width="20" hidden="0" customWidth="1"/>
    <x:col min="7" max="7" width="52" hidden="0" customWidth="1"/>
    <x:col min="8" max="8" width="48" hidden="0" customWidth="1"/>
    <x:col min="9" max="9" width="23" hidden="0" customWidth="1"/>
  </x:cols>
  <x:sheetData>
    <x:row r="1" ht="31" customHeight="1">
      <x:c r="A1" s="3" t="str">
        <x:v>Removed and replaced claims — complete audit trail</x:v>
      </x:c>
      <x:c r="B1" s="3"/>
      <x:c r="C1" s="3"/>
      <x:c r="D1" s="3"/>
      <x:c r="E1" s="3"/>
      <x:c r="F1" s="3"/>
      <x:c r="G1" s="3"/>
      <x:c r="H1" s="3"/>
      <x:c r="I1" s="3"/>
    </x:row>
    <x:row r="2" ht="44" customHeight="1">
      <x:c r="A2" s="7" t="str">
        <x:v>Thirty-seven claims are removed and two are replaced. Original wording and IDs remain preserved; nothing was permanently deleted.</x:v>
      </x:c>
      <x:c r="B2" s="7"/>
      <x:c r="C2" s="7"/>
      <x:c r="D2" s="7"/>
      <x:c r="E2" s="7"/>
      <x:c r="F2" s="7"/>
      <x:c r="G2" s="7"/>
      <x:c r="H2" s="7"/>
      <x:c r="I2" s="7"/>
    </x:row>
    <x:row r="4" ht="40" customHeight="1">
      <x:c r="A4" s="16" t="str">
        <x:v>Original claim ID</x:v>
      </x:c>
      <x:c r="B4" s="17" t="str">
        <x:v>Original source ID</x:v>
      </x:c>
      <x:c r="C4" s="17" t="str">
        <x:v>Original claim</x:v>
      </x:c>
      <x:c r="D4" s="17" t="str">
        <x:v>Accounting category</x:v>
      </x:c>
      <x:c r="E4" s="17" t="str">
        <x:v>Replacement claim ID</x:v>
      </x:c>
      <x:c r="F4" s="17" t="str">
        <x:v>Replacement source ID</x:v>
      </x:c>
      <x:c r="G4" s="17" t="str">
        <x:v>Removal/replacement reason</x:v>
      </x:c>
      <x:c r="H4" s="17" t="str">
        <x:v>Archive path</x:v>
      </x:c>
      <x:c r="I4" s="18" t="str">
        <x:v>Review status</x:v>
      </x:c>
    </x:row>
    <x:row r="5" ht="82" customHeight="1">
      <x:c r="A5" s="26" t="str">
        <x:v>CLM-001</x:v>
      </x:c>
      <x:c r="B5" s="26" t="str">
        <x:v>SRC-001</x:v>
      </x:c>
      <x:c r="C5" s="26" t="str">
        <x:v>Formulated through a systematic and transparent process, this document reflects a consensus of best practices based on current evidence.</x:v>
      </x:c>
      <x:c r="D5" s="26" t="str">
        <x:v>removed</x:v>
      </x:c>
      <x:c r="E5" s="26" t="str"/>
      <x:c r="F5" s="26" t="str"/>
      <x:c r="G5" s="26" t="str">
        <x:v>This is a methods, background, sample-description, vague, or non-actionable sentence rather than a safe atomic evidence claim; or it falls outside the product's non-diagnostic, non-treatment scope.</x:v>
      </x:c>
      <x:c r="H5" s="26" t="str">
        <x:v>/Users/janakirampulipati/ibd-research-review/archive/removed-claims/removed-and-replaced-claims.json</x:v>
      </x:c>
      <x:c r="I5" s="26" t="str">
        <x:v>pending_human_review</x:v>
      </x:c>
    </x:row>
    <x:row r="6" ht="82" customHeight="1">
      <x:c r="A6" s="27" t="str">
        <x:v>CLM-002</x:v>
      </x:c>
      <x:c r="B6" s="27" t="str">
        <x:v>SRC-001</x:v>
      </x:c>
      <x:c r="C6" s="27" t="str">
        <x:v>In developing the recommendations, 89 clinical experts and stakeholders participated in an online survey, identifying primary outcomes, such as clinical and endoscopic remission, as well as adverse event metrics, all stratified by clinically relevant effect sizes.</x:v>
      </x:c>
      <x:c r="D6" s="27" t="str">
        <x:v>removed</x:v>
      </x:c>
      <x:c r="E6" s="27" t="str"/>
      <x:c r="F6" s="27" t="str"/>
      <x:c r="G6" s="27" t="str">
        <x:v>This is a methods, background, sample-description, vague, or non-actionable sentence rather than a safe atomic evidence claim; or it falls outside the product's non-diagnostic, non-treatment scope.</x:v>
      </x:c>
      <x:c r="H6" s="27" t="str">
        <x:v>/Users/janakirampulipati/ibd-research-review/archive/removed-claims/removed-and-replaced-claims.json</x:v>
      </x:c>
      <x:c r="I6" s="27" t="str">
        <x:v>pending_human_review</x:v>
      </x:c>
    </x:row>
    <x:row r="7" ht="82" customHeight="1">
      <x:c r="A7" s="27" t="str">
        <x:v>CLM-003</x:v>
      </x:c>
      <x:c r="B7" s="27" t="str">
        <x:v>SRC-001</x:v>
      </x:c>
      <x:c r="C7" s="27" t="str">
        <x:v>Further research may inform future revisions as new evidence emerges.</x:v>
      </x:c>
      <x:c r="D7" s="27" t="str">
        <x:v>removed</x:v>
      </x:c>
      <x:c r="E7" s="27" t="str"/>
      <x:c r="F7" s="27" t="str"/>
      <x:c r="G7" s="27" t="str">
        <x:v>This is a methods, background, sample-description, vague, or non-actionable sentence rather than a safe atomic evidence claim; or it falls outside the product's non-diagnostic, non-treatment scope.</x:v>
      </x:c>
      <x:c r="H7" s="27" t="str">
        <x:v>/Users/janakirampulipati/ibd-research-review/archive/removed-claims/removed-and-replaced-claims.json</x:v>
      </x:c>
      <x:c r="I7" s="27" t="str">
        <x:v>pending_human_review</x:v>
      </x:c>
    </x:row>
    <x:row r="8" ht="82" customHeight="1">
      <x:c r="A8" s="27" t="str">
        <x:v>CLM-004</x:v>
      </x:c>
      <x:c r="B8" s="27" t="str">
        <x:v>SRC-001</x:v>
      </x:c>
      <x:c r="C8" s="27" t="str">
        <x:v>In response to recent advancements in inflammatory bowel disease (IBD) management, the British Society of Gastroenterology (BSG) Clinical Services and Standards Committee (CSSC) has commissioned the BSG IBD section to update its guidelines, last revised in 2019.</x:v>
      </x:c>
      <x:c r="D8" s="27" t="str">
        <x:v>removed</x:v>
      </x:c>
      <x:c r="E8" s="27" t="str"/>
      <x:c r="F8" s="27" t="str"/>
      <x:c r="G8" s="27" t="str">
        <x:v>This is a methods, background, sample-description, vague, or non-actionable sentence rather than a safe atomic evidence claim; or it falls outside the product's non-diagnostic, non-treatment scope.</x:v>
      </x:c>
      <x:c r="H8" s="27" t="str">
        <x:v>/Users/janakirampulipati/ibd-research-review/archive/removed-claims/removed-and-replaced-claims.json</x:v>
      </x:c>
      <x:c r="I8" s="27" t="str">
        <x:v>pending_human_review</x:v>
      </x:c>
    </x:row>
    <x:row r="9" ht="82" customHeight="1">
      <x:c r="A9" s="27" t="str">
        <x:v>CLM-007</x:v>
      </x:c>
      <x:c r="B9" s="27" t="str">
        <x:v>SRC-002</x:v>
      </x:c>
      <x:c r="C9" s="27" t="str">
        <x:v>Serum proteins are no longer recommended for the identification and diagnosis of malnutrition due to their lack of specificity for nutritional status and high sensitivity to inflammation.</x:v>
      </x:c>
      <x:c r="D9" s="27" t="str">
        <x:v>removed</x:v>
      </x:c>
      <x:c r="E9" s="27" t="str"/>
      <x:c r="F9" s="27" t="str"/>
      <x:c r="G9" s="27" t="str">
        <x:v>This is a methods, background, sample-description, vague, or non-actionable sentence rather than a safe atomic evidence claim; or it falls outside the product's non-diagnostic, non-treatment scope.</x:v>
      </x:c>
      <x:c r="H9" s="27" t="str">
        <x:v>/Users/janakirampulipati/ibd-research-review/archive/removed-claims/removed-and-replaced-claims.json</x:v>
      </x:c>
      <x:c r="I9" s="27" t="str">
        <x:v>pending_human_review</x:v>
      </x:c>
    </x:row>
    <x:row r="10" ht="82" customHeight="1">
      <x:c r="A10" s="27" t="str">
        <x:v>CLM-009</x:v>
      </x:c>
      <x:c r="B10" s="27" t="str">
        <x:v>SRC-003</x:v>
      </x:c>
      <x:c r="C10" s="27" t="str">
        <x:v>Treatment of iron deficiency (parenterally if necessary) is strongly recommended.</x:v>
      </x:c>
      <x:c r="D10" s="27" t="str">
        <x:v>removed</x:v>
      </x:c>
      <x:c r="E10" s="27" t="str"/>
      <x:c r="F10" s="27" t="str"/>
      <x:c r="G10" s="27" t="str">
        <x:v>This is a methods, background, sample-description, vague, or non-actionable sentence rather than a safe atomic evidence claim; or it falls outside the product's non-diagnostic, non-treatment scope.</x:v>
      </x:c>
      <x:c r="H10" s="27" t="str">
        <x:v>/Users/janakirampulipati/ibd-research-review/archive/removed-claims/removed-and-replaced-claims.json</x:v>
      </x:c>
      <x:c r="I10" s="27" t="str">
        <x:v>pending_human_review</x:v>
      </x:c>
    </x:row>
    <x:row r="11" ht="82" customHeight="1">
      <x:c r="A11" s="27" t="str">
        <x:v>CLM-010</x:v>
      </x:c>
      <x:c r="B11" s="27" t="str">
        <x:v>SRC-003</x:v>
      </x:c>
      <x:c r="C11" s="27" t="str">
        <x:v>The recommended perioperative management of patients with IBD undergoing surgery accords with general ESPEN guidance for patients having abdominal surgery.</x:v>
      </x:c>
      <x:c r="D11" s="27" t="str">
        <x:v>replaced by new</x:v>
      </x:c>
      <x:c r="E11" s="27" t="str">
        <x:v>CLM-096</x:v>
      </x:c>
      <x:c r="F11" s="27" t="str">
        <x:v>SRC-026</x:v>
      </x:c>
      <x:c r="G11" s="27" t="str">
        <x:v>Superseded source replaced with the 2023 update.</x:v>
      </x:c>
      <x:c r="H11" s="27" t="str">
        <x:v>/Users/janakirampulipati/ibd-research-review/archive/removed-claims/removed-and-replaced-claims.json</x:v>
      </x:c>
      <x:c r="I11" s="27" t="str">
        <x:v>pending_human_review</x:v>
      </x:c>
    </x:row>
    <x:row r="12" ht="82" customHeight="1">
      <x:c r="A12" s="27" t="str">
        <x:v>CLM-011</x:v>
      </x:c>
      <x:c r="B12" s="27" t="str">
        <x:v>SRC-003</x:v>
      </x:c>
      <x:c r="C12" s="27" t="str">
        <x:v>However, exclusion diets are generally not recommended and there is little evidence to support any particular formula feed when nutritional regimens are constructed.</x:v>
      </x:c>
      <x:c r="D12" s="27" t="str">
        <x:v>replaced by new</x:v>
      </x:c>
      <x:c r="E12" s="27" t="str">
        <x:v>CLM-097</x:v>
      </x:c>
      <x:c r="F12" s="27" t="str">
        <x:v>SRC-026</x:v>
      </x:c>
      <x:c r="G12" s="27" t="str">
        <x:v>Superseded source replaced with the 2023 update.</x:v>
      </x:c>
      <x:c r="H12" s="27" t="str">
        <x:v>/Users/janakirampulipati/ibd-research-review/archive/removed-claims/removed-and-replaced-claims.json</x:v>
      </x:c>
      <x:c r="I12" s="27" t="str">
        <x:v>pending_human_review</x:v>
      </x:c>
    </x:row>
    <x:row r="13" ht="82" customHeight="1">
      <x:c r="A13" s="27" t="str">
        <x:v>CLM-012</x:v>
      </x:c>
      <x:c r="B13" s="27" t="str">
        <x:v>SRC-003</x:v>
      </x:c>
      <x:c r="C13" s="27" t="str">
        <x:v>The conclusions and 64 recommendations have been subject to full peer review and a Delphi process in which uniformly positive responses (agree or strongly agree) were required.</x:v>
      </x:c>
      <x:c r="D13" s="27" t="str">
        <x:v>removed</x:v>
      </x:c>
      <x:c r="E13" s="27" t="str"/>
      <x:c r="F13" s="27" t="str"/>
      <x:c r="G13" s="27" t="str">
        <x:v>This is a methods, background, sample-description, vague, or non-actionable sentence rather than a safe atomic evidence claim; or it falls outside the product's non-diagnostic, non-treatment scope.</x:v>
      </x:c>
      <x:c r="H13" s="27" t="str">
        <x:v>/Users/janakirampulipati/ibd-research-review/archive/removed-claims/removed-and-replaced-claims.json</x:v>
      </x:c>
      <x:c r="I13" s="27" t="str">
        <x:v>pending_human_review</x:v>
      </x:c>
    </x:row>
    <x:row r="14" ht="82" customHeight="1">
      <x:c r="A14" s="27" t="str">
        <x:v>CLM-016</x:v>
      </x:c>
      <x:c r="B14" s="27" t="str">
        <x:v>SRC-004</x:v>
      </x:c>
      <x:c r="C14" s="27" t="str">
        <x:v>This umbrella review comprehensively synthesizes evidence from systematic reviews and meta-analyses to evaluate these complex associations.</x:v>
      </x:c>
      <x:c r="D14" s="27" t="str">
        <x:v>removed</x:v>
      </x:c>
      <x:c r="E14" s="27" t="str"/>
      <x:c r="F14" s="27" t="str"/>
      <x:c r="G14" s="27" t="str">
        <x:v>This is a methods, background, sample-description, vague, or non-actionable sentence rather than a safe atomic evidence claim; or it falls outside the product's non-diagnostic, non-treatment scope.</x:v>
      </x:c>
      <x:c r="H14" s="27" t="str">
        <x:v>/Users/janakirampulipati/ibd-research-review/archive/removed-claims/removed-and-replaced-claims.json</x:v>
      </x:c>
      <x:c r="I14" s="27" t="str">
        <x:v>pending_human_review</x:v>
      </x:c>
    </x:row>
    <x:row r="15" ht="82" customHeight="1">
      <x:c r="A15" s="27" t="str">
        <x:v>CLM-020</x:v>
      </x:c>
      <x:c r="B15" s="27" t="str">
        <x:v>SRC-005</x:v>
      </x:c>
      <x:c r="C15" s="27" t="str">
        <x:v>BACKGROUND &amp; AIMS: This study aimed (1) to systematically review controlled trials of solid food diets for the treatment of inflammatory bowel disease (IBD); and (2) to grade the overall quality of evidence.</x:v>
      </x:c>
      <x:c r="D15" s="27" t="str">
        <x:v>removed</x:v>
      </x:c>
      <x:c r="E15" s="27" t="str"/>
      <x:c r="F15" s="27" t="str"/>
      <x:c r="G15" s="27" t="str">
        <x:v>This is a methods, background, sample-description, vague, or non-actionable sentence rather than a safe atomic evidence claim; or it falls outside the product's non-diagnostic, non-treatment scope.</x:v>
      </x:c>
      <x:c r="H15" s="27" t="str">
        <x:v>/Users/janakirampulipati/ibd-research-review/archive/removed-claims/removed-and-replaced-claims.json</x:v>
      </x:c>
      <x:c r="I15" s="27" t="str">
        <x:v>pending_human_review</x:v>
      </x:c>
    </x:row>
    <x:row r="16" ht="82" customHeight="1">
      <x:c r="A16" s="27" t="str">
        <x:v>CLM-027</x:v>
      </x:c>
      <x:c r="B16" s="27" t="str">
        <x:v>SRC-007</x:v>
      </x:c>
      <x:c r="C16" s="27" t="str">
        <x:v>RESULTS: A total of 1022 articles were evaluated, 35 articles were retained and 5 studies were added from review articles.</x:v>
      </x:c>
      <x:c r="D16" s="27" t="str">
        <x:v>removed</x:v>
      </x:c>
      <x:c r="E16" s="27" t="str"/>
      <x:c r="F16" s="27" t="str"/>
      <x:c r="G16" s="27" t="str">
        <x:v>This is a methods, background, sample-description, vague, or non-actionable sentence rather than a safe atomic evidence claim; or it falls outside the product's non-diagnostic, non-treatment scope.</x:v>
      </x:c>
      <x:c r="H16" s="27" t="str">
        <x:v>/Users/janakirampulipati/ibd-research-review/archive/removed-claims/removed-and-replaced-claims.json</x:v>
      </x:c>
      <x:c r="I16" s="27" t="str">
        <x:v>pending_human_review</x:v>
      </x:c>
    </x:row>
    <x:row r="17" ht="82" customHeight="1">
      <x:c r="A17" s="27" t="str">
        <x:v>CLM-032</x:v>
      </x:c>
      <x:c r="B17" s="27" t="str">
        <x:v>SRC-008</x:v>
      </x:c>
      <x:c r="C17" s="27" t="str">
        <x:v>We performed a systematic review including all the studies evaluating the connection between nutrition, nutrition status (including undernutrition and overnutrition), micronutrient deficiency, and both disease course and therapeutic response in Inflammatory Bowel Disease patients.</x:v>
      </x:c>
      <x:c r="D17" s="27" t="str">
        <x:v>removed</x:v>
      </x:c>
      <x:c r="E17" s="27" t="str"/>
      <x:c r="F17" s="27" t="str"/>
      <x:c r="G17" s="27" t="str">
        <x:v>This is a methods, background, sample-description, vague, or non-actionable sentence rather than a safe atomic evidence claim; or it falls outside the product's non-diagnostic, non-treatment scope.</x:v>
      </x:c>
      <x:c r="H17" s="27" t="str">
        <x:v>/Users/janakirampulipati/ibd-research-review/archive/removed-claims/removed-and-replaced-claims.json</x:v>
      </x:c>
      <x:c r="I17" s="27" t="str">
        <x:v>pending_human_review</x:v>
      </x:c>
    </x:row>
    <x:row r="18" ht="82" customHeight="1">
      <x:c r="A18" s="27" t="str">
        <x:v>CLM-034</x:v>
      </x:c>
      <x:c r="B18" s="27" t="str">
        <x:v>SRC-009</x:v>
      </x:c>
      <x:c r="C18" s="27" t="str">
        <x:v>Further studies should consider potential mechanisms to explain this result, including the role of subclinical inflammation and psychosocial factors that may influence sleep quality in people with IBD.</x:v>
      </x:c>
      <x:c r="D18" s="27" t="str">
        <x:v>removed</x:v>
      </x:c>
      <x:c r="E18" s="27" t="str"/>
      <x:c r="F18" s="27" t="str"/>
      <x:c r="G18" s="27" t="str">
        <x:v>This is a methods, background, sample-description, vague, or non-actionable sentence rather than a safe atomic evidence claim; or it falls outside the product's non-diagnostic, non-treatment scope.</x:v>
      </x:c>
      <x:c r="H18" s="27" t="str">
        <x:v>/Users/janakirampulipati/ibd-research-review/archive/removed-claims/removed-and-replaced-claims.json</x:v>
      </x:c>
      <x:c r="I18" s="27" t="str">
        <x:v>pending_human_review</x:v>
      </x:c>
    </x:row>
    <x:row r="19" ht="82" customHeight="1">
      <x:c r="A19" s="27" t="str">
        <x:v>CLM-035</x:v>
      </x:c>
      <x:c r="B19" s="27" t="str">
        <x:v>SRC-009</x:v>
      </x:c>
      <x:c r="C19" s="27" t="str">
        <x:v>This meta-analysis aimed to assess the prevalence of poor sleep in inactive IBD and in controls by considering cohort and cross-sectional studies.</x:v>
      </x:c>
      <x:c r="D19" s="27" t="str">
        <x:v>removed</x:v>
      </x:c>
      <x:c r="E19" s="27" t="str"/>
      <x:c r="F19" s="27" t="str"/>
      <x:c r="G19" s="27" t="str">
        <x:v>This is a methods, background, sample-description, vague, or non-actionable sentence rather than a safe atomic evidence claim; or it falls outside the product's non-diagnostic, non-treatment scope.</x:v>
      </x:c>
      <x:c r="H19" s="27" t="str">
        <x:v>/Users/janakirampulipati/ibd-research-review/archive/removed-claims/removed-and-replaced-claims.json</x:v>
      </x:c>
      <x:c r="I19" s="27" t="str">
        <x:v>pending_human_review</x:v>
      </x:c>
    </x:row>
    <x:row r="20" ht="82" customHeight="1">
      <x:c r="A20" s="27" t="str">
        <x:v>CLM-036</x:v>
      </x:c>
      <x:c r="B20" s="27" t="str">
        <x:v>SRC-009</x:v>
      </x:c>
      <x:c r="C20" s="27" t="str">
        <x:v>Poor sleep and IBD activity were defined according to self-reported subjective sleep measures.</x:v>
      </x:c>
      <x:c r="D20" s="27" t="str">
        <x:v>removed</x:v>
      </x:c>
      <x:c r="E20" s="27" t="str"/>
      <x:c r="F20" s="27" t="str"/>
      <x:c r="G20" s="27" t="str">
        <x:v>This is a methods, background, sample-description, vague, or non-actionable sentence rather than a safe atomic evidence claim; or it falls outside the product's non-diagnostic, non-treatment scope.</x:v>
      </x:c>
      <x:c r="H20" s="27" t="str">
        <x:v>/Users/janakirampulipati/ibd-research-review/archive/removed-claims/removed-and-replaced-claims.json</x:v>
      </x:c>
      <x:c r="I20" s="27" t="str">
        <x:v>pending_human_review</x:v>
      </x:c>
    </x:row>
    <x:row r="21" ht="82" customHeight="1">
      <x:c r="A21" s="27" t="str">
        <x:v>CLM-039</x:v>
      </x:c>
      <x:c r="B21" s="27" t="str">
        <x:v>SRC-010</x:v>
      </x:c>
      <x:c r="C21" s="27" t="str">
        <x:v>Inconsistent results and a dearth of studies using the same tools for measuring psychological factors suggest the need for more research to be done to facilitate more conclusive findings.</x:v>
      </x:c>
      <x:c r="D21" s="27" t="str">
        <x:v>removed</x:v>
      </x:c>
      <x:c r="E21" s="27" t="str"/>
      <x:c r="F21" s="27" t="str"/>
      <x:c r="G21" s="27" t="str">
        <x:v>This is a methods, background, sample-description, vague, or non-actionable sentence rather than a safe atomic evidence claim; or it falls outside the product's non-diagnostic, non-treatment scope.</x:v>
      </x:c>
      <x:c r="H21" s="27" t="str">
        <x:v>/Users/janakirampulipati/ibd-research-review/archive/removed-claims/removed-and-replaced-claims.json</x:v>
      </x:c>
      <x:c r="I21" s="27" t="str">
        <x:v>pending_human_review</x:v>
      </x:c>
    </x:row>
    <x:row r="22" ht="82" customHeight="1">
      <x:c r="A22" s="27" t="str">
        <x:v>CLM-043</x:v>
      </x:c>
      <x:c r="B22" s="27" t="str">
        <x:v>SRC-011</x:v>
      </x:c>
      <x:c r="C22" s="27" t="str">
        <x:v>No previous investigation has summarized findings from prospective cohort studies on the association between dietary intake of fiber, fruit, and vegetables and risk of inflammatory bowel disease (IBD).</x:v>
      </x:c>
      <x:c r="D22" s="27" t="str">
        <x:v>removed</x:v>
      </x:c>
      <x:c r="E22" s="27" t="str"/>
      <x:c r="F22" s="27" t="str"/>
      <x:c r="G22" s="27" t="str">
        <x:v>This is a methods, background, sample-description, vague, or non-actionable sentence rather than a safe atomic evidence claim; or it falls outside the product's non-diagnostic, non-treatment scope.</x:v>
      </x:c>
      <x:c r="H22" s="27" t="str">
        <x:v>/Users/janakirampulipati/ibd-research-review/archive/removed-claims/removed-and-replaced-claims.json</x:v>
      </x:c>
      <x:c r="I22" s="27" t="str">
        <x:v>pending_human_review</x:v>
      </x:c>
    </x:row>
    <x:row r="23" ht="82" customHeight="1">
      <x:c r="A23" s="27" t="str">
        <x:v>CLM-045</x:v>
      </x:c>
      <x:c r="B23" s="27" t="str">
        <x:v>SRC-012</x:v>
      </x:c>
      <x:c r="C23" s="27" t="str">
        <x:v>RESULTS: A total of ten RCTs were included, which included 777 patients with ulcerative colitis (UC) and Crohn's disease (CD).</x:v>
      </x:c>
      <x:c r="D23" s="27" t="str">
        <x:v>removed</x:v>
      </x:c>
      <x:c r="E23" s="27" t="str"/>
      <x:c r="F23" s="27" t="str"/>
      <x:c r="G23" s="27" t="str">
        <x:v>This is a methods, background, sample-description, vague, or non-actionable sentence rather than a safe atomic evidence claim; or it falls outside the product's non-diagnostic, non-treatment scope.</x:v>
      </x:c>
      <x:c r="H23" s="27" t="str">
        <x:v>/Users/janakirampulipati/ibd-research-review/archive/removed-claims/removed-and-replaced-claims.json</x:v>
      </x:c>
      <x:c r="I23" s="27" t="str">
        <x:v>pending_human_review</x:v>
      </x:c>
    </x:row>
    <x:row r="24" ht="82" customHeight="1">
      <x:c r="A24" s="27" t="str">
        <x:v>CLM-047</x:v>
      </x:c>
      <x:c r="B24" s="27" t="str">
        <x:v>SRC-012</x:v>
      </x:c>
      <x:c r="C24" s="27" t="str">
        <x:v>In the present study, we analyzed randomized controlled trials (RCTs) on the treatment of probiotics in IBD to systematically evaluate the efficacy of probiotics on the induction and maintenance of remission of IBD.</x:v>
      </x:c>
      <x:c r="D24" s="27" t="str">
        <x:v>removed</x:v>
      </x:c>
      <x:c r="E24" s="27" t="str"/>
      <x:c r="F24" s="27" t="str"/>
      <x:c r="G24" s="27" t="str">
        <x:v>This is a methods, background, sample-description, vague, or non-actionable sentence rather than a safe atomic evidence claim; or it falls outside the product's non-diagnostic, non-treatment scope.</x:v>
      </x:c>
      <x:c r="H24" s="27" t="str">
        <x:v>/Users/janakirampulipati/ibd-research-review/archive/removed-claims/removed-and-replaced-claims.json</x:v>
      </x:c>
      <x:c r="I24" s="27" t="str">
        <x:v>pending_human_review</x:v>
      </x:c>
    </x:row>
    <x:row r="25" ht="82" customHeight="1">
      <x:c r="A25" s="27" t="str">
        <x:v>CLM-052</x:v>
      </x:c>
      <x:c r="B25" s="27" t="str">
        <x:v>SRC-013</x:v>
      </x:c>
      <x:c r="C25" s="27" t="str">
        <x:v>Hence, the aim of this article is to critically review the evidence for the effects of UPF and food additives on gut health and disease and to discuss the clinical application of these findings.</x:v>
      </x:c>
      <x:c r="D25" s="27" t="str">
        <x:v>removed</x:v>
      </x:c>
      <x:c r="E25" s="27" t="str"/>
      <x:c r="F25" s="27" t="str"/>
      <x:c r="G25" s="27" t="str">
        <x:v>This is a methods, background, sample-description, vague, or non-actionable sentence rather than a safe atomic evidence claim; or it falls outside the product's non-diagnostic, non-treatment scope.</x:v>
      </x:c>
      <x:c r="H25" s="27" t="str">
        <x:v>/Users/janakirampulipati/ibd-research-review/archive/removed-claims/removed-and-replaced-claims.json</x:v>
      </x:c>
      <x:c r="I25" s="27" t="str">
        <x:v>pending_human_review</x:v>
      </x:c>
    </x:row>
    <x:row r="26" ht="82" customHeight="1">
      <x:c r="A26" s="27" t="str">
        <x:v>CLM-054</x:v>
      </x:c>
      <x:c r="B26" s="27" t="str">
        <x:v>SRC-014</x:v>
      </x:c>
      <x:c r="C26" s="27" t="str">
        <x:v>We used the Grading of Recommendations Assessment, Development and Evaluation [GRADE] approach to assess the quality of evidence.</x:v>
      </x:c>
      <x:c r="D26" s="27" t="str">
        <x:v>removed</x:v>
      </x:c>
      <x:c r="E26" s="27" t="str"/>
      <x:c r="F26" s="27" t="str"/>
      <x:c r="G26" s="27" t="str">
        <x:v>This is a methods, background, sample-description, vague, or non-actionable sentence rather than a safe atomic evidence claim; or it falls outside the product's non-diagnostic, non-treatment scope.</x:v>
      </x:c>
      <x:c r="H26" s="27" t="str">
        <x:v>/Users/janakirampulipati/ibd-research-review/archive/removed-claims/removed-and-replaced-claims.json</x:v>
      </x:c>
      <x:c r="I26" s="27" t="str">
        <x:v>pending_human_review</x:v>
      </x:c>
    </x:row>
    <x:row r="27" ht="82" customHeight="1">
      <x:c r="A27" s="27" t="str">
        <x:v>CLM-055</x:v>
      </x:c>
      <x:c r="B27" s="27" t="str">
        <x:v>SRC-014</x:v>
      </x:c>
      <x:c r="C27" s="27" t="str">
        <x:v>RESULTS: Ten observational studies were included.</x:v>
      </x:c>
      <x:c r="D27" s="27" t="str">
        <x:v>removed</x:v>
      </x:c>
      <x:c r="E27" s="27" t="str"/>
      <x:c r="F27" s="27" t="str"/>
      <x:c r="G27" s="27" t="str">
        <x:v>This is a methods, background, sample-description, vague, or non-actionable sentence rather than a safe atomic evidence claim; or it falls outside the product's non-diagnostic, non-treatment scope.</x:v>
      </x:c>
      <x:c r="H27" s="27" t="str">
        <x:v>/Users/janakirampulipati/ibd-research-review/archive/removed-claims/removed-and-replaced-claims.json</x:v>
      </x:c>
      <x:c r="I27" s="27" t="str">
        <x:v>pending_human_review</x:v>
      </x:c>
    </x:row>
    <x:row r="28" ht="82" customHeight="1">
      <x:c r="A28" s="27" t="str">
        <x:v>CLM-056</x:v>
      </x:c>
      <x:c r="B28" s="27" t="str">
        <x:v>SRC-014</x:v>
      </x:c>
      <x:c r="C28" s="27" t="str">
        <x:v>BACKGROUND AND AIMS: Modifiable risk factors in inflammatory bowel disease [IBD], such as physical activity, may be used as prevention strategies.</x:v>
      </x:c>
      <x:c r="D28" s="27" t="str">
        <x:v>removed</x:v>
      </x:c>
      <x:c r="E28" s="27" t="str"/>
      <x:c r="F28" s="27" t="str"/>
      <x:c r="G28" s="27" t="str">
        <x:v>This is a methods, background, sample-description, vague, or non-actionable sentence rather than a safe atomic evidence claim; or it falls outside the product's non-diagnostic, non-treatment scope.</x:v>
      </x:c>
      <x:c r="H28" s="27" t="str">
        <x:v>/Users/janakirampulipati/ibd-research-review/archive/removed-claims/removed-and-replaced-claims.json</x:v>
      </x:c>
      <x:c r="I28" s="27" t="str">
        <x:v>pending_human_review</x:v>
      </x:c>
    </x:row>
    <x:row r="29" ht="82" customHeight="1">
      <x:c r="A29" s="27" t="str">
        <x:v>CLM-057</x:v>
      </x:c>
      <x:c r="B29" s="27" t="str">
        <x:v>SRC-015</x:v>
      </x:c>
      <x:c r="C29" s="27" t="str">
        <x:v>BACKGROUND &amp; AIMS: Multiple environmental factors have been associated with the development of inflammatory bowel diseases (IBDs).</x:v>
      </x:c>
      <x:c r="D29" s="27" t="str">
        <x:v>removed</x:v>
      </x:c>
      <x:c r="E29" s="27" t="str"/>
      <x:c r="F29" s="27" t="str"/>
      <x:c r="G29" s="27" t="str">
        <x:v>This is a methods, background, sample-description, vague, or non-actionable sentence rather than a safe atomic evidence claim; or it falls outside the product's non-diagnostic, non-treatment scope.</x:v>
      </x:c>
      <x:c r="H29" s="27" t="str">
        <x:v>/Users/janakirampulipati/ibd-research-review/archive/removed-claims/removed-and-replaced-claims.json</x:v>
      </x:c>
      <x:c r="I29" s="27" t="str">
        <x:v>pending_human_review</x:v>
      </x:c>
    </x:row>
    <x:row r="30" ht="82" customHeight="1">
      <x:c r="A30" s="27" t="str">
        <x:v>CLM-058</x:v>
      </x:c>
      <x:c r="B30" s="27" t="str">
        <x:v>SRC-015</x:v>
      </x:c>
      <x:c r="C30" s="27" t="str">
        <x:v>We performed an umbrella review of meta-analyses to summarize available epidemiologic evidence and assess its credibility.</x:v>
      </x:c>
      <x:c r="D30" s="27" t="str">
        <x:v>removed</x:v>
      </x:c>
      <x:c r="E30" s="27" t="str"/>
      <x:c r="F30" s="27" t="str"/>
      <x:c r="G30" s="27" t="str">
        <x:v>This is a methods, background, sample-description, vague, or non-actionable sentence rather than a safe atomic evidence claim; or it falls outside the product's non-diagnostic, non-treatment scope.</x:v>
      </x:c>
      <x:c r="H30" s="27" t="str">
        <x:v>/Users/janakirampulipati/ibd-research-review/archive/removed-claims/removed-and-replaced-claims.json</x:v>
      </x:c>
      <x:c r="I30" s="27" t="str">
        <x:v>pending_human_review</x:v>
      </x:c>
    </x:row>
    <x:row r="31" ht="82" customHeight="1">
      <x:c r="A31" s="27" t="str">
        <x:v>CLM-059</x:v>
      </x:c>
      <x:c r="B31" s="27" t="str">
        <x:v>SRC-015</x:v>
      </x:c>
      <x:c r="C31" s="27" t="str">
        <x:v>For each meta-analysis, we considered the random effects estimate, its 95% confidence interval, the estimates of heterogeneity, and small-study effects, and we graded the evidence according to prespecified criteria.</x:v>
      </x:c>
      <x:c r="D31" s="27" t="str">
        <x:v>removed</x:v>
      </x:c>
      <x:c r="E31" s="27" t="str"/>
      <x:c r="F31" s="27" t="str"/>
      <x:c r="G31" s="27" t="str">
        <x:v>This is a methods, background, sample-description, vague, or non-actionable sentence rather than a safe atomic evidence claim; or it falls outside the product's non-diagnostic, non-treatment scope.</x:v>
      </x:c>
      <x:c r="H31" s="27" t="str">
        <x:v>/Users/janakirampulipati/ibd-research-review/archive/removed-claims/removed-and-replaced-claims.json</x:v>
      </x:c>
      <x:c r="I31" s="27" t="str">
        <x:v>pending_human_review</x:v>
      </x:c>
    </x:row>
    <x:row r="32" ht="82" customHeight="1">
      <x:c r="A32" s="27" t="str">
        <x:v>CLM-060</x:v>
      </x:c>
      <x:c r="B32" s="27" t="str">
        <x:v>SRC-015</x:v>
      </x:c>
      <x:c r="C32" s="27" t="str">
        <x:v>RESULTS: We examined 183 estimates in 53 meta-analyses of 71 environmental factors related to lifestyles and hygiene, surgeries, drug exposures, diet, microorganisms, and vaccinations.</x:v>
      </x:c>
      <x:c r="D32" s="27" t="str">
        <x:v>removed</x:v>
      </x:c>
      <x:c r="E32" s="27" t="str"/>
      <x:c r="F32" s="27" t="str"/>
      <x:c r="G32" s="27" t="str">
        <x:v>This is a methods, background, sample-description, vague, or non-actionable sentence rather than a safe atomic evidence claim; or it falls outside the product's non-diagnostic, non-treatment scope.</x:v>
      </x:c>
      <x:c r="H32" s="27" t="str">
        <x:v>/Users/janakirampulipati/ibd-research-review/archive/removed-claims/removed-and-replaced-claims.json</x:v>
      </x:c>
      <x:c r="I32" s="27" t="str">
        <x:v>pending_human_review</x:v>
      </x:c>
    </x:row>
    <x:row r="33" ht="82" customHeight="1">
      <x:c r="A33" s="27" t="str">
        <x:v>CLM-063</x:v>
      </x:c>
      <x:c r="B33" s="27" t="str">
        <x:v>SRC-016</x:v>
      </x:c>
      <x:c r="C33" s="27" t="str">
        <x:v>RESULTS: The study randomized 194 patients, and 191 were included in the efficacy analyses.</x:v>
      </x:c>
      <x:c r="D33" s="27" t="str">
        <x:v>removed</x:v>
      </x:c>
      <x:c r="E33" s="27" t="str"/>
      <x:c r="F33" s="27" t="str"/>
      <x:c r="G33" s="27" t="str">
        <x:v>This is a methods, background, sample-description, vague, or non-actionable sentence rather than a safe atomic evidence claim; or it falls outside the product's non-diagnostic, non-treatment scope.</x:v>
      </x:c>
      <x:c r="H33" s="27" t="str">
        <x:v>/Users/janakirampulipati/ibd-research-review/archive/removed-claims/removed-and-replaced-claims.json</x:v>
      </x:c>
      <x:c r="I33" s="27" t="str">
        <x:v>pending_human_review</x:v>
      </x:c>
    </x:row>
    <x:row r="34" ht="82" customHeight="1">
      <x:c r="A34" s="27" t="str">
        <x:v>CLM-064</x:v>
      </x:c>
      <x:c r="B34" s="27" t="str">
        <x:v>SRC-016</x:v>
      </x:c>
      <x:c r="C34" s="27" t="str">
        <x:v>BACKGROUND &amp; AIMS: This study compared the effectiveness of the Specific Carbohydrate Diet (SCD) to the Mediterranean diet (MD) as treatment for Crohn's disease (CD) with mild to moderate symptoms.</x:v>
      </x:c>
      <x:c r="D34" s="27" t="str">
        <x:v>removed</x:v>
      </x:c>
      <x:c r="E34" s="27" t="str"/>
      <x:c r="F34" s="27" t="str"/>
      <x:c r="G34" s="27" t="str">
        <x:v>This is a methods, background, sample-description, vague, or non-actionable sentence rather than a safe atomic evidence claim; or it falls outside the product's non-diagnostic, non-treatment scope.</x:v>
      </x:c>
      <x:c r="H34" s="27" t="str">
        <x:v>/Users/janakirampulipati/ibd-research-review/archive/removed-claims/removed-and-replaced-claims.json</x:v>
      </x:c>
      <x:c r="I34" s="27" t="str">
        <x:v>pending_human_review</x:v>
      </x:c>
    </x:row>
    <x:row r="35" ht="82" customHeight="1">
      <x:c r="A35" s="27" t="str">
        <x:v>CLM-065</x:v>
      </x:c>
      <x:c r="B35" s="27" t="str">
        <x:v>SRC-017</x:v>
      </x:c>
      <x:c r="C35" s="27" t="str">
        <x:v>BACKGROUND &amp; AIMS: Exclusive enteral nutrition (EEN) is recommended for children with mild to moderate Crohn's disease (CD), but implementation is challenging.</x:v>
      </x:c>
      <x:c r="D35" s="27" t="str">
        <x:v>removed</x:v>
      </x:c>
      <x:c r="E35" s="27" t="str"/>
      <x:c r="F35" s="27" t="str"/>
      <x:c r="G35" s="27" t="str">
        <x:v>This is a methods, background, sample-description, vague, or non-actionable sentence rather than a safe atomic evidence claim; or it falls outside the product's non-diagnostic, non-treatment scope.</x:v>
      </x:c>
      <x:c r="H35" s="27" t="str">
        <x:v>/Users/janakirampulipati/ibd-research-review/archive/removed-claims/removed-and-replaced-claims.json</x:v>
      </x:c>
      <x:c r="I35" s="27" t="str">
        <x:v>pending_human_review</x:v>
      </x:c>
    </x:row>
    <x:row r="36" ht="82" customHeight="1">
      <x:c r="A36" s="27" t="str">
        <x:v>CLM-067</x:v>
      </x:c>
      <x:c r="B36" s="27" t="str">
        <x:v>SRC-017</x:v>
      </x:c>
      <x:c r="C36" s="27" t="str">
        <x:v>RESULTS: Four patients withdrew from the study because of intolerance by 48 hours, 74 patients (mean age 14.2 ± 2.7 years) were included for remission analysis.</x:v>
      </x:c>
      <x:c r="D36" s="27" t="str">
        <x:v>removed</x:v>
      </x:c>
      <x:c r="E36" s="27" t="str"/>
      <x:c r="F36" s="27" t="str"/>
      <x:c r="G36" s="27" t="str">
        <x:v>This is a methods, background, sample-description, vague, or non-actionable sentence rather than a safe atomic evidence claim; or it falls outside the product's non-diagnostic, non-treatment scope.</x:v>
      </x:c>
      <x:c r="H36" s="27" t="str">
        <x:v>/Users/janakirampulipati/ibd-research-review/archive/removed-claims/removed-and-replaced-claims.json</x:v>
      </x:c>
      <x:c r="I36" s="27" t="str">
        <x:v>pending_human_review</x:v>
      </x:c>
    </x:row>
    <x:row r="37" ht="82" customHeight="1">
      <x:c r="A37" s="27" t="str">
        <x:v>CLM-069</x:v>
      </x:c>
      <x:c r="B37" s="27" t="str">
        <x:v>SRC-018</x:v>
      </x:c>
      <x:c r="C37" s="27" t="str">
        <x:v>We performed a randomized controlled trial to determine whether reduced consumption of red and processed meats decreases the risk of symptomatic relapse of CD, analyzing results from the Food and Crohn's Disease Exacerbation Study (FACES) trial.</x:v>
      </x:c>
      <x:c r="D37" s="27" t="str">
        <x:v>removed</x:v>
      </x:c>
      <x:c r="E37" s="27" t="str"/>
      <x:c r="F37" s="27" t="str"/>
      <x:c r="G37" s="27" t="str">
        <x:v>This is a methods, background, sample-description, vague, or non-actionable sentence rather than a safe atomic evidence claim; or it falls outside the product's non-diagnostic, non-treatment scope.</x:v>
      </x:c>
      <x:c r="H37" s="27" t="str">
        <x:v>/Users/janakirampulipati/ibd-research-review/archive/removed-claims/removed-and-replaced-claims.json</x:v>
      </x:c>
      <x:c r="I37" s="27" t="str">
        <x:v>pending_human_review</x:v>
      </x:c>
    </x:row>
    <x:row r="38" ht="82" customHeight="1">
      <x:c r="A38" s="27" t="str">
        <x:v>CLM-070</x:v>
      </x:c>
      <x:c r="B38" s="27" t="str">
        <x:v>SRC-018</x:v>
      </x:c>
      <x:c r="C38" s="27" t="str">
        <x:v>RESULTS: During the trial, the high-meat groups reported consumption of 2 or more servings of red or processed meat during 98.5% of observed weeks compared with 18.8% of weeks for the low-meat group.</x:v>
      </x:c>
      <x:c r="D38" s="27" t="str">
        <x:v>removed</x:v>
      </x:c>
      <x:c r="E38" s="27" t="str"/>
      <x:c r="F38" s="27" t="str"/>
      <x:c r="G38" s="27" t="str">
        <x:v>This is a methods, background, sample-description, vague, or non-actionable sentence rather than a safe atomic evidence claim; or it falls outside the product's non-diagnostic, non-treatment scope.</x:v>
      </x:c>
      <x:c r="H38" s="27" t="str">
        <x:v>/Users/janakirampulipati/ibd-research-review/archive/removed-claims/removed-and-replaced-claims.json</x:v>
      </x:c>
      <x:c r="I38" s="27" t="str">
        <x:v>pending_human_review</x:v>
      </x:c>
    </x:row>
    <x:row r="39" ht="82" customHeight="1">
      <x:c r="A39" s="27" t="str">
        <x:v>CLM-072</x:v>
      </x:c>
      <x:c r="B39" s="27" t="str">
        <x:v>SRC-018</x:v>
      </x:c>
      <x:c r="C39" s="27" t="str">
        <x:v>Individuals who were in remission (CD activity index [sCDAI] scores of ≤150), had completed a biannual survey, and reported consumption of red meat at least once weekly were randomly assigned to groups that consumed a minimum of 2 servings/week of red or processed meat (high meat, n = 118) or not more than 1 serving per month (low meat, n = 96) for 49 weeks.</x:v>
      </x:c>
      <x:c r="D39" s="27" t="str">
        <x:v>removed</x:v>
      </x:c>
      <x:c r="E39" s="27" t="str"/>
      <x:c r="F39" s="27" t="str"/>
      <x:c r="G39" s="27" t="str">
        <x:v>This is a methods, background, sample-description, vague, or non-actionable sentence rather than a safe atomic evidence claim; or it falls outside the product's non-diagnostic, non-treatment scope.</x:v>
      </x:c>
      <x:c r="H39" s="27" t="str">
        <x:v>/Users/janakirampulipati/ibd-research-review/archive/removed-claims/removed-and-replaced-claims.json</x:v>
      </x:c>
      <x:c r="I39" s="27" t="str">
        <x:v>pending_human_review</x:v>
      </x:c>
    </x:row>
    <x:row r="40" ht="82" customHeight="1">
      <x:c r="A40" s="27" t="str">
        <x:v>CLM-075</x:v>
      </x:c>
      <x:c r="B40" s="27" t="str">
        <x:v>SRC-019</x:v>
      </x:c>
      <x:c r="C40" s="27" t="str">
        <x:v>METHODS: An LFD is associated with symptom improvement in patients with functional intestinal disorders, although its safety and efficacy has not been characterized in patients with IBD.</x:v>
      </x:c>
      <x:c r="D40" s="27" t="str">
        <x:v>removed</x:v>
      </x:c>
      <x:c r="E40" s="27" t="str"/>
      <x:c r="F40" s="27" t="str"/>
      <x:c r="G40" s="27" t="str">
        <x:v>This is a methods, background, sample-description, vague, or non-actionable sentence rather than a safe atomic evidence claim; or it falls outside the product's non-diagnostic, non-treatment scope.</x:v>
      </x:c>
      <x:c r="H40" s="27" t="str">
        <x:v>/Users/janakirampulipati/ibd-research-review/archive/removed-claims/removed-and-replaced-claims.json</x:v>
      </x:c>
      <x:c r="I40" s="27" t="str">
        <x:v>pending_human_review</x:v>
      </x:c>
    </x:row>
    <x:row r="41" ht="82" customHeight="1">
      <x:c r="A41" s="27" t="str">
        <x:v>CLM-076</x:v>
      </x:c>
      <x:c r="B41" s="27" t="str">
        <x:v>SRC-019</x:v>
      </x:c>
      <x:c r="C41" s="27" t="str">
        <x:v>Disease activity (Harvey-Bradshaw index [HBi], partial Mayo score), fecal calprotectin, and disease-specific quality of life (IBD-Q) were assessed at baseline and at the end of dietary intervention.</x:v>
      </x:c>
      <x:c r="D41" s="27" t="str">
        <x:v>removed</x:v>
      </x:c>
      <x:c r="E41" s="27" t="str"/>
      <x:c r="F41" s="27" t="str"/>
      <x:c r="G41" s="27" t="str">
        <x:v>This is a methods, background, sample-description, vague, or non-actionable sentence rather than a safe atomic evidence claim; or it falls outside the product's non-diagnostic, non-treatment scope.</x:v>
      </x:c>
      <x:c r="H41" s="27" t="str">
        <x:v>/Users/janakirampulipati/ibd-research-review/archive/removed-claims/removed-and-replaced-claims.json</x:v>
      </x:c>
      <x:c r="I41" s="27" t="str">
        <x:v>pending_human_review</x:v>
      </x:c>
    </x:row>
    <x:row r="42" ht="82" customHeight="1">
      <x:c r="A42" s="27" t="str">
        <x:v>CLM-090</x:v>
      </x:c>
      <x:c r="B42" s="27" t="str">
        <x:v>SRC-024</x:v>
      </x:c>
      <x:c r="C42" s="27" t="str">
        <x:v>After reviewing the recommendations, the Foundation has determined that the information in our Diet and Nutrition resources remains unchanged for the IBD community.</x:v>
      </x:c>
      <x:c r="D42" s="27" t="str">
        <x:v>removed</x:v>
      </x:c>
      <x:c r="E42" s="27" t="str"/>
      <x:c r="F42" s="27" t="str"/>
      <x:c r="G42" s="27" t="str">
        <x:v>This is a methods, background, sample-description, vague, or non-actionable sentence rather than a safe atomic evidence claim; or it falls outside the product's non-diagnostic, non-treatment scope.</x:v>
      </x:c>
      <x:c r="H42" s="27" t="str">
        <x:v>/Users/janakirampulipati/ibd-research-review/archive/removed-claims/removed-and-replaced-claims.json</x:v>
      </x:c>
      <x:c r="I42" s="27" t="str">
        <x:v>pending_human_review</x:v>
      </x:c>
    </x:row>
    <x:row r="43" ht="82" customHeight="1">
      <x:c r="A43" s="28" t="str">
        <x:v>CLM-091</x:v>
      </x:c>
      <x:c r="B43" s="28" t="str">
        <x:v>SRC-024</x:v>
      </x:c>
      <x:c r="C43" s="28" t="str">
        <x:v>There are also foods associated with increasing risk for active disease.</x:v>
      </x:c>
      <x:c r="D43" s="28" t="str">
        <x:v>removed</x:v>
      </x:c>
      <x:c r="E43" s="28" t="str"/>
      <x:c r="F43" s="28" t="str"/>
      <x:c r="G43" s="28" t="str">
        <x:v>This is a methods, background, sample-description, vague, or non-actionable sentence rather than a safe atomic evidence claim; or it falls outside the product's non-diagnostic, non-treatment scope.</x:v>
      </x:c>
      <x:c r="H43" s="28" t="str">
        <x:v>/Users/janakirampulipati/ibd-research-review/archive/removed-claims/removed-and-replaced-claims.json</x:v>
      </x:c>
      <x:c r="I43" s="28" t="str">
        <x:v>pending_human_review</x:v>
      </x:c>
    </x:row>
  </x:sheetData>
  <x:mergeCells>
    <x:mergeCell ref="A1:I1"/>
    <x:mergeCell ref="A2:I2"/>
  </x:mergeCells>
  <x:conditionalFormatting sqref="D5:D43">
    <x:cfRule type="containsText" dxfId="21" priority="1" operator="containsText" text="verified"/>
    <x:cfRule type="containsText" dxfId="22" priority="2" operator="containsText" text="ready"/>
    <x:cfRule type="containsText" dxfId="23" priority="3" operator="containsText" text="partial"/>
    <x:cfRule type="containsText" dxfId="24" priority="4" operator="containsText" text="needs"/>
    <x:cfRule type="containsText" dxfId="25" priority="5" operator="containsText" text="unresolved"/>
    <x:cfRule type="containsText" dxfId="26" priority="6" operator="containsText" text="superseded"/>
    <x:cfRule type="containsText" dxfId="27" priority="7" operator="containsText" text="removed"/>
  </x:conditionalFormatting>
  <x:pageMargins left="0.7" right="0.7" top="0.75" bottom="0.75" header="0.3" footer="0.3"/>
  <x:tableParts count="1">
    <x:tablePart xmlns:r="http://schemas.openxmlformats.org/officeDocument/2006/relationships" r:id="R8573551c75bf463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4" hidden="0" customWidth="1"/>
    <x:col min="2" max="2" width="50" hidden="0" customWidth="1"/>
    <x:col min="3" max="3" width="14" hidden="0" customWidth="1"/>
    <x:col min="4" max="4" width="28" hidden="0" customWidth="1"/>
    <x:col min="5" max="5" width="42" hidden="0" customWidth="1"/>
    <x:col min="6" max="6" width="14" hidden="0" customWidth="1"/>
    <x:col min="7" max="7" width="50" hidden="0" customWidth="1"/>
    <x:col min="8" max="8" width="14" hidden="0" customWidth="1"/>
    <x:col min="9" max="9" width="28" hidden="0" customWidth="1"/>
    <x:col min="10" max="10" width="52" hidden="0" customWidth="1"/>
    <x:col min="11" max="11" width="48" hidden="0" customWidth="1"/>
    <x:col min="12" max="12" width="23" hidden="0" customWidth="1"/>
  </x:cols>
  <x:sheetData>
    <x:row r="1" ht="31" customHeight="1">
      <x:c r="A1" s="3" t="str">
        <x:v>Superseded sources — replacement map</x:v>
      </x:c>
      <x:c r="B1" s="3"/>
      <x:c r="C1" s="3"/>
      <x:c r="D1" s="3"/>
      <x:c r="E1" s="3"/>
      <x:c r="F1" s="3"/>
      <x:c r="G1" s="3"/>
      <x:c r="H1" s="3"/>
      <x:c r="I1" s="3"/>
      <x:c r="J1" s="3"/>
      <x:c r="K1" s="3"/>
      <x:c r="L1" s="3"/>
    </x:row>
    <x:row r="2" ht="44" customHeight="1">
      <x:c r="A2" s="7" t="str">
        <x:v>The 2017 ESPEN guideline is retained only for provenance and mapped to the official 2023 update. Human approval remains pending.</x:v>
      </x:c>
      <x:c r="B2" s="7"/>
      <x:c r="C2" s="7"/>
      <x:c r="D2" s="7"/>
      <x:c r="E2" s="7"/>
      <x:c r="F2" s="7"/>
      <x:c r="G2" s="7"/>
      <x:c r="H2" s="7"/>
      <x:c r="I2" s="7"/>
      <x:c r="J2" s="7"/>
      <x:c r="K2" s="7"/>
      <x:c r="L2" s="7"/>
    </x:row>
    <x:row r="4" ht="40" customHeight="1">
      <x:c r="A4" s="16" t="str">
        <x:v>Old source ID</x:v>
      </x:c>
      <x:c r="B4" s="17" t="str">
        <x:v>Superseded title</x:v>
      </x:c>
      <x:c r="C4" s="17" t="str">
        <x:v>Old PMID</x:v>
      </x:c>
      <x:c r="D4" s="17" t="str">
        <x:v>Old DOI</x:v>
      </x:c>
      <x:c r="E4" s="17" t="str">
        <x:v>Superseded reason</x:v>
      </x:c>
      <x:c r="F4" s="17" t="str">
        <x:v>New source ID</x:v>
      </x:c>
      <x:c r="G4" s="17" t="str">
        <x:v>Replacement title</x:v>
      </x:c>
      <x:c r="H4" s="17" t="str">
        <x:v>New PMID</x:v>
      </x:c>
      <x:c r="I4" s="17" t="str">
        <x:v>New DOI</x:v>
      </x:c>
      <x:c r="J4" s="17" t="str">
        <x:v>Old-claim disposition</x:v>
      </x:c>
      <x:c r="K4" s="17" t="str">
        <x:v>Archive path</x:v>
      </x:c>
      <x:c r="L4" s="18" t="str">
        <x:v>Review status</x:v>
      </x:c>
    </x:row>
    <x:row r="5" ht="88" customHeight="1">
      <x:c r="A5" s="33" t="str">
        <x:v>SRC-003</x:v>
      </x:c>
      <x:c r="B5" s="33" t="str">
        <x:v>ESPEN guideline: Clinical nutrition in inflammatory bowel disease.</x:v>
      </x:c>
      <x:c r="C5" s="33" t="str">
        <x:v>28131521</x:v>
      </x:c>
      <x:c r="D5" s="33" t="str">
        <x:v>10.1016/j.clnu.2016.12.027</x:v>
      </x:c>
      <x:c r="E5" s="33" t="str">
        <x:v>ESPEN published an update and extension in 2023.</x:v>
      </x:c>
      <x:c r="F5" s="33" t="str">
        <x:v>SRC-026</x:v>
      </x:c>
      <x:c r="G5" s="33" t="str">
        <x:v>ESPEN guideline on Clinical Nutrition in inflammatory bowel disease.</x:v>
      </x:c>
      <x:c r="H5" s="33" t="str">
        <x:v>36739756</x:v>
      </x:c>
      <x:c r="I5" s="33" t="str">
        <x:v>10.1016/j.clnu.2022.12.004</x:v>
      </x:c>
      <x:c r="J5" s="33" t="str">
        <x:v>CLM-009 removed; CLM-010 replaced by CLM-096; CLM-011 replaced by CLM-097; CLM-012 removed.</x:v>
      </x:c>
      <x:c r="K5" s="33" t="str">
        <x:v>/Users/janakirampulipati/ibd-research-review/archive/superseded-sources/SRC-003.json</x:v>
      </x:c>
      <x:c r="L5" s="33" t="str">
        <x:v>pending_human_review</x:v>
      </x:c>
    </x:row>
  </x:sheetData>
  <x:mergeCells>
    <x:mergeCell ref="A1:L1"/>
    <x:mergeCell ref="A2:L2"/>
  </x:mergeCells>
  <x:conditionalFormatting sqref="E5:E5">
    <x:cfRule type="containsText" dxfId="28" priority="1" operator="containsText" text="verified"/>
    <x:cfRule type="containsText" dxfId="29" priority="2" operator="containsText" text="ready"/>
    <x:cfRule type="containsText" dxfId="30" priority="3" operator="containsText" text="partial"/>
    <x:cfRule type="containsText" dxfId="31" priority="4" operator="containsText" text="needs"/>
    <x:cfRule type="containsText" dxfId="32" priority="5" operator="containsText" text="unresolved"/>
    <x:cfRule type="containsText" dxfId="33" priority="6" operator="containsText" text="superseded"/>
    <x:cfRule type="containsText" dxfId="34" priority="7" operator="containsText" text="removed"/>
  </x:conditionalFormatting>
  <x:pageMargins left="0.7" right="0.7" top="0.75" bottom="0.75" header="0.3" footer="0.3"/>
  <x:tableParts count="1">
    <x:tablePart xmlns:r="http://schemas.openxmlformats.org/officeDocument/2006/relationships" r:id="Rcd9a42ba49d64b9b"/>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6" hidden="0" customWidth="1"/>
    <x:col min="2" max="2" width="42" hidden="0" customWidth="1"/>
    <x:col min="3" max="3" width="12" hidden="0" customWidth="1"/>
    <x:col min="4" max="4" width="13" hidden="0" customWidth="1"/>
    <x:col min="5" max="5" width="12" hidden="0" customWidth="1"/>
    <x:col min="6" max="6" width="28" hidden="0" customWidth="1"/>
    <x:col min="7" max="7" width="58" hidden="0" customWidth="1"/>
    <x:col min="8" max="8" width="58" hidden="0" customWidth="1"/>
    <x:col min="9" max="9" width="48" hidden="0" customWidth="1"/>
    <x:col min="10" max="10" width="48" hidden="0" customWidth="1"/>
  </x:cols>
  <x:sheetData>
    <x:row r="1" ht="31" customHeight="1">
      <x:c r="A1" s="3" t="str">
        <x:v>MVP evidence gaps — bounded resolution</x:v>
      </x:c>
      <x:c r="B1" s="3"/>
      <x:c r="C1" s="3"/>
      <x:c r="D1" s="3"/>
      <x:c r="E1" s="3"/>
      <x:c r="F1" s="3"/>
      <x:c r="G1" s="3"/>
      <x:c r="H1" s="3"/>
      <x:c r="I1" s="3"/>
      <x:c r="J1" s="3"/>
    </x:row>
    <x:row r="2" ht="44" customHeight="1">
      <x:c r="A2" s="7" t="str">
        <x:v>Search caps were enforced separately from claim searches: no more than 3 searches, 4 candidates, or 2 selected sources per gap.</x:v>
      </x:c>
      <x:c r="B2" s="7"/>
      <x:c r="C2" s="7"/>
      <x:c r="D2" s="7"/>
      <x:c r="E2" s="7"/>
      <x:c r="F2" s="7"/>
      <x:c r="G2" s="7"/>
      <x:c r="H2" s="7"/>
      <x:c r="I2" s="7"/>
      <x:c r="J2" s="7"/>
    </x:row>
    <x:row r="4" ht="40" customHeight="1">
      <x:c r="A4" s="16" t="str">
        <x:v>Gap ID</x:v>
      </x:c>
      <x:c r="B4" s="17" t="str">
        <x:v>Resolution status</x:v>
      </x:c>
      <x:c r="C4" s="17" t="str">
        <x:v>Searches</x:v>
      </x:c>
      <x:c r="D4" s="17" t="str">
        <x:v>Candidates</x:v>
      </x:c>
      <x:c r="E4" s="17" t="str">
        <x:v>Selected</x:v>
      </x:c>
      <x:c r="F4" s="17" t="str">
        <x:v>Selected sources</x:v>
      </x:c>
      <x:c r="G4" s="17" t="str">
        <x:v>Safe answer limit</x:v>
      </x:c>
      <x:c r="H4" s="17" t="str">
        <x:v>Supporting excerpt</x:v>
      </x:c>
      <x:c r="I4" s="17" t="str">
        <x:v>Exact locator</x:v>
      </x:c>
      <x:c r="J4" s="18" t="str">
        <x:v>Evidence decision</x:v>
      </x:c>
    </x:row>
    <x:row r="5" ht="100" customHeight="1">
      <x:c r="A5" s="26" t="str">
        <x:v>post_surgical_context</x:v>
      </x:c>
      <x:c r="B5" s="26" t="str">
        <x:v>partially_resolved_with_answer_limit</x:v>
      </x:c>
      <x:c r="C5" s="26" t="n">
        <x:v>1</x:v>
      </x:c>
      <x:c r="D5" s="26" t="n">
        <x:v>1</x:v>
      </x:c>
      <x:c r="E5" s="26" t="n">
        <x:v>1</x:v>
      </x:c>
      <x:c r="F5" s="26" t="str">
        <x:v>SRC-026</x:v>
      </x:c>
      <x:c r="G5" s="26" t="str">
        <x:v>Only state that perioperative nutrition should be managed by the surgical/IBD team; no individualized regimen.</x:v>
      </x:c>
      <x:c r="H5" s="26" t="str">
        <x:v>The recommendations have been adapted from the ESPEN Guideline: Clinical Nutrition in Surgery in a slightly modified way since the principles apply equally to the IBD patient undergoing surgical intervention. Evidence of ERAS in patients with IBD is sparse.</x:v>
      </x:c>
      <x:c r="I5" s="26" t="str">
        <x:v>Official ESPEN PDF — journal page 363, Recommendations 40–41 commentary, first paragraph</x:v>
      </x:c>
      <x:c r="J5" s="26" t="str">
        <x:v>IBD-specific ERAS evidence is sparse and several recommendations are extrapolated.</x:v>
      </x:c>
    </x:row>
    <x:row r="6" ht="100" customHeight="1">
      <x:c r="A6" s="27" t="str">
        <x:v>stricture_or_obstruction_risk</x:v>
      </x:c>
      <x:c r="B6" s="27" t="str">
        <x:v>partially_resolved_with_answer_limit</x:v>
      </x:c>
      <x:c r="C6" s="27" t="n">
        <x:v>1</x:v>
      </x:c>
      <x:c r="D6" s="27" t="n">
        <x:v>2</x:v>
      </x:c>
      <x:c r="E6" s="27" t="n">
        <x:v>2</x:v>
      </x:c>
      <x:c r="F6" s="27" t="str">
        <x:v>SRC-021; SRC-026</x:v>
      </x:c>
      <x:c r="G6" s="27" t="str">
        <x:v>Flag obstruction symptoms and defer texture/enteral decisions to an IBD clinician or dietitian.</x:v>
      </x:c>
      <x:c r="H6" s="27" t="str">
        <x:v>In patients with CD with intestinal strictures or stenosis in combination with obstructive symptoms, a diet with adapted texture ... can be recommended.</x:v>
      </x:c>
      <x:c r="I6" s="27" t="str">
        <x:v>Official ESPEN PDF — journal page 358, Recommendation 19 and commentary</x:v>
      </x:c>
      <x:c r="J6" s="27" t="str">
        <x:v>High-risk, anatomy- and symptom-dependent context; no automated or personalized food advice.</x:v>
      </x:c>
    </x:row>
    <x:row r="7" ht="100" customHeight="1">
      <x:c r="A7" s="27" t="str">
        <x:v>biomarkers</x:v>
      </x:c>
      <x:c r="B7" s="27" t="str">
        <x:v>unresolved_feature_must_be_excluded</x:v>
      </x:c>
      <x:c r="C7" s="27" t="n">
        <x:v>2</x:v>
      </x:c>
      <x:c r="D7" s="27" t="n">
        <x:v>2</x:v>
      </x:c>
      <x:c r="E7" s="27" t="n">
        <x:v>0</x:v>
      </x:c>
      <x:c r="F7" s="27" t="str"/>
      <x:c r="G7" s="27" t="str">
        <x:v>Exclude claims that a diet will improve CRP, calprotectin, or other biomarkers.</x:v>
      </x:c>
      <x:c r="H7" s="27" t="str">
        <x:v>Randomized controlled trials showed mixed, generally non-significant effects on inflammatory biomarkers.</x:v>
      </x:c>
      <x:c r="I7" s="27" t="str">
        <x:v>PubMed PMID 42492787 — Results, sentence 4</x:v>
      </x:c>
      <x:c r="J7" s="27" t="str">
        <x:v>Diet-specific biomarker evidence remains mixed and is not adequate for a product claim.</x:v>
      </x:c>
    </x:row>
    <x:row r="8" ht="100" customHeight="1">
      <x:c r="A8" s="27" t="str">
        <x:v>adverse_effects</x:v>
      </x:c>
      <x:c r="B8" s="27" t="str">
        <x:v>partially_resolved_with_answer_limit</x:v>
      </x:c>
      <x:c r="C8" s="27" t="n">
        <x:v>1</x:v>
      </x:c>
      <x:c r="D8" s="27" t="n">
        <x:v>2</x:v>
      </x:c>
      <x:c r="E8" s="27" t="n">
        <x:v>2</x:v>
      </x:c>
      <x:c r="F8" s="27" t="str">
        <x:v>SRC-024; SRC-026</x:v>
      </x:c>
      <x:c r="G8" s="27" t="str">
        <x:v>Warn that restrictive diets can increase deficiency, weight-loss, and disordered-eating risk; recommend qualified support.</x:v>
      </x:c>
      <x:c r="H8" s="27" t="str">
        <x:v>The patient on a restrictive diet is at risk of further deficiencies and muscle mass loss, especially in catabolic states such as those associated with IBD flares.</x:v>
      </x:c>
      <x:c r="I8" s="27" t="str">
        <x:v>Official ESPEN PDF — journal page 370, Recommendation 68 commentary, final paragraph</x:v>
      </x:c>
      <x:c r="J8" s="27" t="str">
        <x:v>Supports a safety warning, not a quantified adverse-event rate.</x:v>
      </x:c>
    </x:row>
    <x:row r="9" ht="100" customHeight="1">
      <x:c r="A9" s="27" t="str">
        <x:v>alcohol</x:v>
      </x:c>
      <x:c r="B9" s="27" t="str">
        <x:v>partially_resolved_with_answer_limit</x:v>
      </x:c>
      <x:c r="C9" s="27" t="n">
        <x:v>1</x:v>
      </x:c>
      <x:c r="D9" s="27" t="n">
        <x:v>1</x:v>
      </x:c>
      <x:c r="E9" s="27" t="n">
        <x:v>1</x:v>
      </x:c>
      <x:c r="F9" s="27" t="str">
        <x:v>SRC-025</x:v>
      </x:c>
      <x:c r="G9" s="27" t="str">
        <x:v>State that evidence about flare risk is insufficient and symptoms may vary; do not recommend alcohol use.</x:v>
      </x:c>
      <x:c r="H9" s="27" t="str">
        <x:v>There is not enough high-quality evidence to know for certain if drinking alcohol could increase your risk of a flare-up.</x:v>
      </x:c>
      <x:c r="I9" s="27" t="str">
        <x:v>Official Crohn’s &amp; Colitis UK webpage — heading "Alcohol"; first paragraph</x:v>
      </x:c>
      <x:c r="J9" s="27" t="str">
        <x:v>Patient-information evidence supports uncertainty only.</x:v>
      </x:c>
    </x:row>
    <x:row r="10" ht="100" customHeight="1">
      <x:c r="A10" s="28" t="str">
        <x:v>physical_activity</x:v>
      </x:c>
      <x:c r="B10" s="28" t="str">
        <x:v>resolved_for_mvp</x:v>
      </x:c>
      <x:c r="C10" s="28" t="n">
        <x:v>1</x:v>
      </x:c>
      <x:c r="D10" s="28" t="n">
        <x:v>3</x:v>
      </x:c>
      <x:c r="E10" s="28" t="n">
        <x:v>2</x:v>
      </x:c>
      <x:c r="F10" s="28" t="str">
        <x:v>SRC-026; PMID 37811533</x:v>
      </x:c>
      <x:c r="G10" s="28" t="str">
        <x:v>General encouragement for appropriate activity; intensity and resistance training should reflect symptoms, disease activity, and clinical advice.</x:v>
      </x:c>
      <x:c r="H10" s="28" t="str">
        <x:v>In all patients with IBD, endurance training should be encouraged.</x:v>
      </x:c>
      <x:c r="I10" s="28" t="str">
        <x:v>Official ESPEN PDF — journal page 370, Recommendation 68</x:v>
      </x:c>
      <x:c r="J10" s="28" t="str">
        <x:v>Guideline plus systematic-review evidence supports a bounded general statement; detailed prescriptions remain out of scope.</x:v>
      </x:c>
    </x:row>
  </x:sheetData>
  <x:mergeCells>
    <x:mergeCell ref="A1:J1"/>
    <x:mergeCell ref="A2:J2"/>
  </x:mergeCells>
  <x:conditionalFormatting sqref="B5:B10">
    <x:cfRule type="containsText" dxfId="35" priority="1" operator="containsText" text="verified"/>
    <x:cfRule type="containsText" dxfId="36" priority="2" operator="containsText" text="ready"/>
    <x:cfRule type="containsText" dxfId="37" priority="3" operator="containsText" text="partial"/>
    <x:cfRule type="containsText" dxfId="38" priority="4" operator="containsText" text="needs"/>
    <x:cfRule type="containsText" dxfId="39" priority="5" operator="containsText" text="unresolved"/>
    <x:cfRule type="containsText" dxfId="40" priority="6" operator="containsText" text="superseded"/>
    <x:cfRule type="containsText" dxfId="41" priority="7" operator="containsText" text="removed"/>
  </x:conditionalFormatting>
  <x:pageMargins left="0.7" right="0.7" top="0.75" bottom="0.75" header="0.3" footer="0.3"/>
  <x:tableParts count="1">
    <x:tablePart xmlns:r="http://schemas.openxmlformats.org/officeDocument/2006/relationships" r:id="R2051d6d416114b76"/>
  </x:tableParts>
</x:worksheet>
</file>

<file path=xl/worksheets/sheet7.xml><?xml version="1.0" encoding="utf-8"?>
<x:worksheet xmlns:x="http://schemas.openxmlformats.org/spreadsheetml/2006/main">
  <x:sheetViews>
    <x:sheetView showGridLines="0" workbookViewId="0"/>
  </x:sheetViews>
  <x:sheetFormatPr defaultRowHeight="15"/>
  <x:cols>
    <x:col min="1" max="1" width="24" hidden="0" customWidth="1"/>
    <x:col min="2" max="2" width="22" hidden="0" customWidth="1"/>
    <x:col min="3" max="3" width="26" hidden="0" customWidth="1"/>
    <x:col min="4" max="4" width="36" hidden="0" customWidth="1"/>
    <x:col min="5" max="5" width="48" hidden="0" customWidth="1"/>
    <x:col min="6" max="6" width="52" hidden="0" customWidth="1"/>
    <x:col min="7" max="7" width="48" hidden="0" customWidth="1"/>
    <x:col min="8" max="8" width="42" hidden="0" customWidth="1"/>
    <x:col min="9" max="9" width="23" hidden="0" customWidth="1"/>
  </x:cols>
  <x:sheetData>
    <x:row r="1" ht="31" customHeight="1">
      <x:c r="A1" s="3" t="str">
        <x:v>Verification, access, and bounded-search log</x:v>
      </x:c>
      <x:c r="B1" s="3"/>
      <x:c r="C1" s="3"/>
      <x:c r="D1" s="3"/>
      <x:c r="E1" s="3"/>
      <x:c r="F1" s="3"/>
      <x:c r="G1" s="3"/>
      <x:c r="H1" s="3"/>
      <x:c r="I1" s="3"/>
    </x:row>
    <x:row r="2" ht="44" customHeight="1">
      <x:c r="A2" s="7" t="str">
        <x:v>Four legal-access issues remain unresolved. Claim-search and gap-search budgets are logged separately in the same audit sheet.</x:v>
      </x:c>
      <x:c r="B2" s="7"/>
      <x:c r="C2" s="7"/>
      <x:c r="D2" s="7"/>
      <x:c r="E2" s="7"/>
      <x:c r="F2" s="7"/>
      <x:c r="G2" s="7"/>
      <x:c r="H2" s="7"/>
      <x:c r="I2" s="7"/>
    </x:row>
    <x:row r="4" ht="40" customHeight="1">
      <x:c r="A4" s="16" t="str">
        <x:v>Issue/log ID</x:v>
      </x:c>
      <x:c r="B4" s="17" t="str">
        <x:v>Source/claim/gap ID</x:v>
      </x:c>
      <x:c r="C4" s="17" t="str">
        <x:v>Issue type</x:v>
      </x:c>
      <x:c r="D4" s="17" t="str">
        <x:v>Resolution status</x:v>
      </x:c>
      <x:c r="E4" s="17" t="str">
        <x:v>Verification/query</x:v>
      </x:c>
      <x:c r="F4" s="17" t="str">
        <x:v>Authoritative URL/candidates</x:v>
      </x:c>
      <x:c r="G4" s="17" t="str">
        <x:v>Claim/selection handling</x:v>
      </x:c>
      <x:c r="H4" s="17" t="str">
        <x:v>Access/licensing note</x:v>
      </x:c>
      <x:c r="I4" s="18" t="str">
        <x:v>Review status</x:v>
      </x:c>
    </x:row>
    <x:row r="5" ht="76" customHeight="1">
      <x:c r="A5" s="26" t="str">
        <x:v>ACCESS-001</x:v>
      </x:c>
      <x:c r="B5" s="26" t="str">
        <x:v>SRC-002</x:v>
      </x:c>
      <x:c r="C5" s="26" t="str">
        <x:v>legal_full_text_not_located</x:v>
      </x:c>
      <x:c r="D5" s="26" t="str">
        <x:v>unresolved</x:v>
      </x:c>
      <x:c r="E5" s="26" t="str">
        <x:v>public abstract only</x:v>
      </x:c>
      <x:c r="F5" s="26" t="str">
        <x:v>https://pubmed.ncbi.nlm.nih.gov/38276922/</x:v>
      </x:c>
      <x:c r="G5" s="26" t="str">
        <x:v>Claims require abstract-specific locators and conservative confidence; no full-text inference.</x:v>
      </x:c>
      <x:c r="H5" s="26" t="str">
        <x:v>No paywall bypass attempted; no downstream reuse rights assumed.</x:v>
      </x:c>
      <x:c r="I5" s="26" t="str">
        <x:v>pending_human_review</x:v>
      </x:c>
    </x:row>
    <x:row r="6" ht="76" customHeight="1">
      <x:c r="A6" s="27" t="str">
        <x:v>ACCESS-002</x:v>
      </x:c>
      <x:c r="B6" s="27" t="str">
        <x:v>SRC-013</x:v>
      </x:c>
      <x:c r="C6" s="27" t="str">
        <x:v>legal_full_text_not_located</x:v>
      </x:c>
      <x:c r="D6" s="27" t="str">
        <x:v>unresolved</x:v>
      </x:c>
      <x:c r="E6" s="27" t="str">
        <x:v>public abstract only</x:v>
      </x:c>
      <x:c r="F6" s="27" t="str">
        <x:v>https://pubmed.ncbi.nlm.nih.gov/38388570/</x:v>
      </x:c>
      <x:c r="G6" s="27" t="str">
        <x:v>Claims require abstract-specific locators and conservative confidence; no full-text inference.</x:v>
      </x:c>
      <x:c r="H6" s="27" t="str">
        <x:v>No paywall bypass attempted; no downstream reuse rights assumed.</x:v>
      </x:c>
      <x:c r="I6" s="27" t="str">
        <x:v>pending_human_review</x:v>
      </x:c>
    </x:row>
    <x:row r="7" ht="76" customHeight="1">
      <x:c r="A7" s="27" t="str">
        <x:v>ACCESS-003</x:v>
      </x:c>
      <x:c r="B7" s="27" t="str">
        <x:v>SRC-015</x:v>
      </x:c>
      <x:c r="C7" s="27" t="str">
        <x:v>legal_full_text_not_located</x:v>
      </x:c>
      <x:c r="D7" s="27" t="str">
        <x:v>unresolved</x:v>
      </x:c>
      <x:c r="E7" s="27" t="str">
        <x:v>public abstract only</x:v>
      </x:c>
      <x:c r="F7" s="27" t="str">
        <x:v>https://pubmed.ncbi.nlm.nih.gov/31014995/</x:v>
      </x:c>
      <x:c r="G7" s="27" t="str">
        <x:v>Claims require abstract-specific locators and conservative confidence; no full-text inference.</x:v>
      </x:c>
      <x:c r="H7" s="27" t="str">
        <x:v>No paywall bypass attempted; no downstream reuse rights assumed.</x:v>
      </x:c>
      <x:c r="I7" s="27" t="str">
        <x:v>pending_human_review</x:v>
      </x:c>
    </x:row>
    <x:row r="8" ht="76" customHeight="1">
      <x:c r="A8" s="27" t="str">
        <x:v>ACCESS-004</x:v>
      </x:c>
      <x:c r="B8" s="27" t="str">
        <x:v>SRC-017</x:v>
      </x:c>
      <x:c r="C8" s="27" t="str">
        <x:v>legal_full_text_not_located</x:v>
      </x:c>
      <x:c r="D8" s="27" t="str">
        <x:v>unresolved</x:v>
      </x:c>
      <x:c r="E8" s="27" t="str">
        <x:v>public abstract only</x:v>
      </x:c>
      <x:c r="F8" s="27" t="str">
        <x:v>https://pubmed.ncbi.nlm.nih.gov/31170412/</x:v>
      </x:c>
      <x:c r="G8" s="27" t="str">
        <x:v>Claims require abstract-specific locators and conservative confidence; no full-text inference.</x:v>
      </x:c>
      <x:c r="H8" s="27" t="str">
        <x:v>No paywall bypass attempted; no downstream reuse rights assumed.</x:v>
      </x:c>
      <x:c r="I8" s="27" t="str">
        <x:v>pending_human_review</x:v>
      </x:c>
    </x:row>
    <x:row r="9" ht="76" customHeight="1">
      <x:c r="A9" s="27" t="str">
        <x:v>CLAIM-SEARCH-CLM-010-1</x:v>
      </x:c>
      <x:c r="B9" s="27" t="str">
        <x:v>CLM-010</x:v>
      </x:c>
      <x:c r="C9" s="27" t="str">
        <x:v>claim_search_budget</x:v>
      </x:c>
      <x:c r="D9" s="27" t="str">
        <x:v>replaced by CLM-096</x:v>
      </x:c>
      <x:c r="E9" s="27" t="str">
        <x:v>ESPEN 2023 IBD perioperative nutrition guideline</x:v>
      </x:c>
      <x:c r="F9" s="27" t="str">
        <x:v>SRC-026</x:v>
      </x:c>
      <x:c r="G9" s="27" t="str">
        <x:v>Selected: yes</x:v>
      </x:c>
      <x:c r="H9" s="27" t="str">
        <x:v>Public-source search only; no paywall bypass.</x:v>
      </x:c>
      <x:c r="I9" s="27" t="str">
        <x:v>pending_human_review</x:v>
      </x:c>
    </x:row>
    <x:row r="10" ht="76" customHeight="1">
      <x:c r="A10" s="27" t="str">
        <x:v>CLAIM-SEARCH-CLM-011-1</x:v>
      </x:c>
      <x:c r="B10" s="27" t="str">
        <x:v>CLM-011</x:v>
      </x:c>
      <x:c r="C10" s="27" t="str">
        <x:v>claim_search_budget</x:v>
      </x:c>
      <x:c r="D10" s="27" t="str">
        <x:v>replaced by CLM-097</x:v>
      </x:c>
      <x:c r="E10" s="27" t="str">
        <x:v>ESPEN 2023 IBD exclusion diet guideline</x:v>
      </x:c>
      <x:c r="F10" s="27" t="str">
        <x:v>SRC-026</x:v>
      </x:c>
      <x:c r="G10" s="27" t="str">
        <x:v>Selected: yes</x:v>
      </x:c>
      <x:c r="H10" s="27" t="str">
        <x:v>Public-source search only; no paywall bypass.</x:v>
      </x:c>
      <x:c r="I10" s="27" t="str">
        <x:v>pending_human_review</x:v>
      </x:c>
    </x:row>
    <x:row r="11" ht="76" customHeight="1">
      <x:c r="A11" s="27" t="str">
        <x:v>CLAIM-SEARCH-CLM-092-1</x:v>
      </x:c>
      <x:c r="B11" s="27" t="str">
        <x:v>CLM-092</x:v>
      </x:c>
      <x:c r="C11" s="27" t="str">
        <x:v>claim_search_budget</x:v>
      </x:c>
      <x:c r="D11" s="27" t="str">
        <x:v>newer evidence is heterogeneous and postdates the original source</x:v>
      </x:c>
      <x:c r="E11" s="27" t="str">
        <x:v>IBD disordered eating systematic review prevalence outcomes</x:v>
      </x:c>
      <x:c r="F11" s="27" t="str">
        <x:v>PMID 41455094</x:v>
      </x:c>
      <x:c r="G11" s="27" t="str">
        <x:v>Selected: no</x:v>
      </x:c>
      <x:c r="H11" s="27" t="str">
        <x:v>Public-source search only; no paywall bypass.</x:v>
      </x:c>
      <x:c r="I11" s="27" t="str">
        <x:v>pending_human_review</x:v>
      </x:c>
    </x:row>
    <x:row r="12" ht="76" customHeight="1">
      <x:c r="A12" s="27" t="str">
        <x:v>CLAIM-SEARCH-CLM-092-2</x:v>
      </x:c>
      <x:c r="B12" s="27" t="str">
        <x:v>CLM-092</x:v>
      </x:c>
      <x:c r="C12" s="27" t="str">
        <x:v>claim_search_budget</x:v>
      </x:c>
      <x:c r="D12" s="27" t="str">
        <x:v>supports prevalence uncertainty but not the broad original outcome claim</x:v>
      </x:c>
      <x:c r="E12" s="27" t="str">
        <x:v>IBD ARFID systematic review clinical correlates</x:v>
      </x:c>
      <x:c r="F12" s="27" t="str">
        <x:v>PMID 42321472</x:v>
      </x:c>
      <x:c r="G12" s="27" t="str">
        <x:v>Selected: no</x:v>
      </x:c>
      <x:c r="H12" s="27" t="str">
        <x:v>Public-source search only; no paywall bypass.</x:v>
      </x:c>
      <x:c r="I12" s="27" t="str">
        <x:v>pending_human_review</x:v>
      </x:c>
    </x:row>
    <x:row r="13" ht="76" customHeight="1">
      <x:c r="A13" s="27" t="str">
        <x:v>GAP-SEARCH-post_surgical_context-1</x:v>
      </x:c>
      <x:c r="B13" s="27" t="str">
        <x:v>post_surgical_context</x:v>
      </x:c>
      <x:c r="C13" s="27" t="str">
        <x:v>gap_search_budget</x:v>
      </x:c>
      <x:c r="D13" s="27" t="str">
        <x:v>candidate_selected</x:v>
      </x:c>
      <x:c r="E13" s="27" t="str">
        <x:v>IBD postoperative nutrition guideline surgery</x:v>
      </x:c>
      <x:c r="F13" s="27" t="str">
        <x:v>SRC-026</x:v>
      </x:c>
      <x:c r="G13" s="27" t="str">
        <x:v>Selected: SRC-026</x:v>
      </x:c>
      <x:c r="H13" s="27" t="str">
        <x:v>Public-source search only; no paywall bypass.</x:v>
      </x:c>
      <x:c r="I13" s="27" t="str">
        <x:v>pending_human_review</x:v>
      </x:c>
    </x:row>
    <x:row r="14" ht="76" customHeight="1">
      <x:c r="A14" s="27" t="str">
        <x:v>GAP-SEARCH-stricture_or_obstruction_risk-1</x:v>
      </x:c>
      <x:c r="B14" s="27" t="str">
        <x:v>stricture_or_obstruction_risk</x:v>
      </x:c>
      <x:c r="C14" s="27" t="str">
        <x:v>gap_search_budget</x:v>
      </x:c>
      <x:c r="D14" s="27" t="str">
        <x:v>candidate_selected</x:v>
      </x:c>
      <x:c r="E14" s="27" t="str">
        <x:v>ECCO diet consensus stricturing Crohn low fibre</x:v>
      </x:c>
      <x:c r="F14" s="27" t="str">
        <x:v>SRC-021; SRC-026</x:v>
      </x:c>
      <x:c r="G14" s="27" t="str">
        <x:v>Selected: SRC-021; SRC-026</x:v>
      </x:c>
      <x:c r="H14" s="27" t="str">
        <x:v>Public-source search only; no paywall bypass.</x:v>
      </x:c>
      <x:c r="I14" s="27" t="str">
        <x:v>pending_human_review</x:v>
      </x:c>
    </x:row>
    <x:row r="15" ht="76" customHeight="1">
      <x:c r="A15" s="27" t="str">
        <x:v>GAP-SEARCH-biomarkers-1</x:v>
      </x:c>
      <x:c r="B15" s="27" t="str">
        <x:v>biomarkers</x:v>
      </x:c>
      <x:c r="C15" s="27" t="str">
        <x:v>gap_search_budget</x:v>
      </x:c>
      <x:c r="D15" s="27" t="str">
        <x:v>no_candidate_selected</x:v>
      </x:c>
      <x:c r="E15" s="27" t="str">
        <x:v>IBD diet biomarkers clinical trial systematic review</x:v>
      </x:c>
      <x:c r="F15" s="27" t="str">
        <x:v>PMID 42492787</x:v>
      </x:c>
      <x:c r="G15" s="27" t="str">
        <x:v>Selected: none</x:v>
      </x:c>
      <x:c r="H15" s="27" t="str">
        <x:v>Public-source search only; no paywall bypass.</x:v>
      </x:c>
      <x:c r="I15" s="27" t="str">
        <x:v>pending_human_review</x:v>
      </x:c>
    </x:row>
    <x:row r="16" ht="76" customHeight="1">
      <x:c r="A16" s="27" t="str">
        <x:v>GAP-SEARCH-biomarkers-2</x:v>
      </x:c>
      <x:c r="B16" s="27" t="str">
        <x:v>biomarkers</x:v>
      </x:c>
      <x:c r="C16" s="27" t="str">
        <x:v>gap_search_budget</x:v>
      </x:c>
      <x:c r="D16" s="27" t="str">
        <x:v>no_candidate_selected</x:v>
      </x:c>
      <x:c r="E16" s="27" t="str">
        <x:v>dietary inflammatory potential IBD progression review</x:v>
      </x:c>
      <x:c r="F16" s="27" t="str">
        <x:v>PMID 40022954</x:v>
      </x:c>
      <x:c r="G16" s="27" t="str">
        <x:v>Selected: none</x:v>
      </x:c>
      <x:c r="H16" s="27" t="str">
        <x:v>Public-source search only; no paywall bypass.</x:v>
      </x:c>
      <x:c r="I16" s="27" t="str">
        <x:v>pending_human_review</x:v>
      </x:c>
    </x:row>
    <x:row r="17" ht="76" customHeight="1">
      <x:c r="A17" s="27" t="str">
        <x:v>GAP-SEARCH-adverse_effects-1</x:v>
      </x:c>
      <x:c r="B17" s="27" t="str">
        <x:v>adverse_effects</x:v>
      </x:c>
      <x:c r="C17" s="27" t="str">
        <x:v>gap_search_budget</x:v>
      </x:c>
      <x:c r="D17" s="27" t="str">
        <x:v>candidate_selected</x:v>
      </x:c>
      <x:c r="E17" s="27" t="str">
        <x:v>IBD restrictive diet adverse effects nutritional deficiency guideline</x:v>
      </x:c>
      <x:c r="F17" s="27" t="str">
        <x:v>SRC-024; SRC-026</x:v>
      </x:c>
      <x:c r="G17" s="27" t="str">
        <x:v>Selected: SRC-024; SRC-026</x:v>
      </x:c>
      <x:c r="H17" s="27" t="str">
        <x:v>Public-source search only; no paywall bypass.</x:v>
      </x:c>
      <x:c r="I17" s="27" t="str">
        <x:v>pending_human_review</x:v>
      </x:c>
    </x:row>
    <x:row r="18" ht="76" customHeight="1">
      <x:c r="A18" s="27" t="str">
        <x:v>GAP-SEARCH-alcohol-1</x:v>
      </x:c>
      <x:c r="B18" s="27" t="str">
        <x:v>alcohol</x:v>
      </x:c>
      <x:c r="C18" s="27" t="str">
        <x:v>gap_search_budget</x:v>
      </x:c>
      <x:c r="D18" s="27" t="str">
        <x:v>candidate_selected</x:v>
      </x:c>
      <x:c r="E18" s="27" t="str">
        <x:v>IBD alcohol flare evidence official patient guidance</x:v>
      </x:c>
      <x:c r="F18" s="27" t="str">
        <x:v>SRC-025</x:v>
      </x:c>
      <x:c r="G18" s="27" t="str">
        <x:v>Selected: SRC-025</x:v>
      </x:c>
      <x:c r="H18" s="27" t="str">
        <x:v>Public-source search only; no paywall bypass.</x:v>
      </x:c>
      <x:c r="I18" s="27" t="str">
        <x:v>pending_human_review</x:v>
      </x:c>
    </x:row>
    <x:row r="19" ht="76" customHeight="1">
      <x:c r="A19" s="28" t="str">
        <x:v>GAP-SEARCH-physical_activity-1</x:v>
      </x:c>
      <x:c r="B19" s="28" t="str">
        <x:v>physical_activity</x:v>
      </x:c>
      <x:c r="C19" s="28" t="str">
        <x:v>gap_search_budget</x:v>
      </x:c>
      <x:c r="D19" s="28" t="str">
        <x:v>candidate_selected</x:v>
      </x:c>
      <x:c r="E19" s="28" t="str">
        <x:v>IBD physical activity exercise systematic review randomized trial</x:v>
      </x:c>
      <x:c r="F19" s="28" t="str">
        <x:v>SRC-026; PMID 37811533; PMID 41621812</x:v>
      </x:c>
      <x:c r="G19" s="28" t="str">
        <x:v>Selected: SRC-026; PMID 37811533</x:v>
      </x:c>
      <x:c r="H19" s="28" t="str">
        <x:v>Public-source search only; no paywall bypass.</x:v>
      </x:c>
      <x:c r="I19" s="28" t="str">
        <x:v>pending_human_review</x:v>
      </x:c>
    </x:row>
  </x:sheetData>
  <x:mergeCells>
    <x:mergeCell ref="A1:I1"/>
    <x:mergeCell ref="A2:I2"/>
  </x:mergeCells>
  <x:conditionalFormatting sqref="D5:D19">
    <x:cfRule type="containsText" dxfId="42" priority="1" operator="containsText" text="verified"/>
    <x:cfRule type="containsText" dxfId="43" priority="2" operator="containsText" text="ready"/>
    <x:cfRule type="containsText" dxfId="44" priority="3" operator="containsText" text="partial"/>
    <x:cfRule type="containsText" dxfId="45" priority="4" operator="containsText" text="needs"/>
    <x:cfRule type="containsText" dxfId="46" priority="5" operator="containsText" text="unresolved"/>
    <x:cfRule type="containsText" dxfId="47" priority="6" operator="containsText" text="superseded"/>
    <x:cfRule type="containsText" dxfId="48" priority="7" operator="containsText" text="removed"/>
  </x:conditionalFormatting>
  <x:pageMargins left="0.7" right="0.7" top="0.75" bottom="0.75" header="0.3" footer="0.3"/>
  <x:tableParts count="1">
    <x:tablePart xmlns:r="http://schemas.openxmlformats.org/officeDocument/2006/relationships" r:id="R0921023752dc4de6"/>
  </x:tableParts>
</x:worksheet>
</file>

<file path=xl/worksheets/sheet8.xml><?xml version="1.0" encoding="utf-8"?>
<x:worksheet xmlns:x="http://schemas.openxmlformats.org/spreadsheetml/2006/main">
  <x:sheetViews>
    <x:sheetView showGridLines="0" workbookViewId="0"/>
  </x:sheetViews>
  <x:sheetFormatPr defaultRowHeight="15"/>
  <x:cols>
    <x:col min="1" max="1" width="34" hidden="0" customWidth="1"/>
    <x:col min="2" max="2" width="18" hidden="0" customWidth="1"/>
    <x:col min="3" max="3" width="64" hidden="0" customWidth="1"/>
    <x:col min="5" max="5" width="34" hidden="0" customWidth="1"/>
    <x:col min="6" max="6" width="66" hidden="0" customWidth="1"/>
  </x:cols>
  <x:sheetData>
    <x:row r="1" ht="34" customHeight="1">
      <x:c r="A1" s="34" t="str">
        <x:v>IBD evidence remediation — approval preparation</x:v>
      </x:c>
      <x:c r="B1" s="34"/>
      <x:c r="C1" s="34"/>
      <x:c r="D1" s="34"/>
      <x:c r="E1" s="34"/>
      <x:c r="F1" s="34"/>
    </x:row>
    <x:row r="2" ht="46" customHeight="1">
      <x:c r="A2" s="36" t="str">
        <x:v>Status: pending second independent QA and human approval. No source or claim has been approved. Human-review fields are blank.</x:v>
      </x:c>
      <x:c r="B2" s="36"/>
      <x:c r="C2" s="36"/>
      <x:c r="D2" s="36"/>
      <x:c r="E2" s="36"/>
      <x:c r="F2" s="36"/>
    </x:row>
    <x:row r="4">
      <x:c r="A4" s="37" t="str">
        <x:v>Metric</x:v>
      </x:c>
      <x:c r="B4" s="37" t="str">
        <x:v>Value</x:v>
      </x:c>
      <x:c r="C4" s="37" t="str">
        <x:v>Interpretation</x:v>
      </x:c>
      <x:c r="E4" s="60" t="str">
        <x:v>Hard-stop control</x:v>
      </x:c>
      <x:c r="F4" s="60" t="str">
        <x:v>Current state</x:v>
      </x:c>
    </x:row>
    <x:row r="5" ht="56" customHeight="1">
      <x:c r="A5" s="47" t="str">
        <x:v>Active sources</x:v>
      </x:c>
      <x:c r="B5" s="56" t="n">
        <x:f>25</x:f>
        <x:v>25</x:v>
      </x:c>
      <x:c r="C5" s="44" t="str">
        <x:v>24 retained original sources plus SRC-026; excludes superseded SRC-003</x:v>
      </x:c>
      <x:c r="E5" s="61" t="str">
        <x:v>Clinical approval</x:v>
      </x:c>
      <x:c r="F5" s="61" t="str">
        <x:v>Not granted; all evidence remains pending human review.</x:v>
      </x:c>
    </x:row>
    <x:row r="6" ht="56" customHeight="1">
      <x:c r="A6" s="48" t="str">
        <x:v>Source rows incl. superseded</x:v>
      </x:c>
      <x:c r="B6" s="57" t="n">
        <x:f>COUNTA('Sources'!$A$5:$A$30)</x:f>
        <x:v>26</x:v>
      </x:c>
      <x:c r="C6" s="45" t="str">
        <x:v>Audit-complete source table</x:v>
      </x:c>
      <x:c r="E6" s="62" t="str">
        <x:v>Second independent QA</x:v>
      </x:c>
      <x:c r="F6" s="62" t="str">
        <x:v>Required before approval or production use.</x:v>
      </x:c>
    </x:row>
    <x:row r="7" ht="56" customHeight="1">
      <x:c r="A7" s="48" t="str">
        <x:v>Incorrect mappings corrected</x:v>
      </x:c>
      <x:c r="B7" s="57" t="n">
        <x:f>COUNTA('Source Mapping Audit'!$A$5:$A$15)</x:f>
        <x:v>11</x:v>
      </x:c>
      <x:c r="C7" s="45" t="str">
        <x:v>All 11 known mismatches rejected and archived</x:v>
      </x:c>
      <x:c r="E7" s="62" t="str">
        <x:v>Review fields</x:v>
      </x:c>
      <x:c r="F7" s="62" t="str">
        <x:v>Blank on Sources and Claims.</x:v>
      </x:c>
    </x:row>
    <x:row r="8" ht="56" customHeight="1">
      <x:c r="A8" s="48" t="str">
        <x:v>Unresolved access issues</x:v>
      </x:c>
      <x:c r="B8" s="57" t="n">
        <x:f>4</x:f>
        <x:v>4</x:v>
      </x:c>
      <x:c r="C8" s="45" t="str">
        <x:v>SRC-002, SRC-013, SRC-015, SRC-017 remain abstract-only</x:v>
      </x:c>
      <x:c r="E8" s="62" t="str">
        <x:v>Canada/US applicability</x:v>
      </x:c>
      <x:c r="F8" s="62" t="str">
        <x:v>Assessed per source; regional qualification retained.</x:v>
      </x:c>
    </x:row>
    <x:row r="9" ht="56" customHeight="1">
      <x:c r="A9" s="48" t="str">
        <x:v>Original claims reconciled</x:v>
      </x:c>
      <x:c r="B9" s="57" t="n">
        <x:f>95</x:f>
        <x:v>95</x:v>
      </x:c>
      <x:c r="C9" s="45" t="str">
        <x:v>Exact mutually exclusive accounting</x:v>
      </x:c>
      <x:c r="E9" s="62" t="str">
        <x:v>Access/licensing</x:v>
      </x:c>
      <x:c r="F9" s="62" t="str">
        <x:v>No paywall bypass; reuse licensing not assumed.</x:v>
      </x:c>
    </x:row>
    <x:row r="10" ht="56" customHeight="1">
      <x:c r="A10" s="48" t="str">
        <x:v>Retained unchanged</x:v>
      </x:c>
      <x:c r="B10" s="57" t="n">
        <x:f>2</x:f>
        <x:v>2</x:v>
      </x:c>
      <x:c r="C10" s="45" t="str">
        <x:v>Ready for human review, not approved</x:v>
      </x:c>
      <x:c r="E10" s="63" t="str">
        <x:v>Architecture/production</x:v>
      </x:c>
      <x:c r="F10" s="63" t="str">
        <x:v>No application, retrieval, API, UI, or infrastructure work performed.</x:v>
      </x:c>
    </x:row>
    <x:row r="11" ht="36" customHeight="1">
      <x:c r="A11" s="48" t="str">
        <x:v>Retained revised</x:v>
      </x:c>
      <x:c r="B11" s="57" t="n">
        <x:f>53</x:f>
        <x:v>53</x:v>
      </x:c>
      <x:c r="C11" s="45" t="str">
        <x:v>Original and revised wording remain traceable</x:v>
      </x:c>
    </x:row>
    <x:row r="12" ht="36" customHeight="1">
      <x:c r="A12" s="48" t="str">
        <x:v>Removed</x:v>
      </x:c>
      <x:c r="B12" s="57" t="n">
        <x:f>37</x:f>
        <x:v>37</x:v>
      </x:c>
      <x:c r="C12" s="45" t="str">
        <x:v>Archived with reasons</x:v>
      </x:c>
    </x:row>
    <x:row r="13" ht="36" customHeight="1">
      <x:c r="A13" s="48" t="str">
        <x:v>Replaced by new</x:v>
      </x:c>
      <x:c r="B13" s="57" t="n">
        <x:f>2</x:f>
        <x:v>2</x:v>
      </x:c>
      <x:c r="C13" s="45" t="str">
        <x:v>CLM-010/011 replaced by CLM-096/097</x:v>
      </x:c>
    </x:row>
    <x:row r="14" ht="36" customHeight="1">
      <x:c r="A14" s="48" t="str">
        <x:v>Still needs evidence</x:v>
      </x:c>
      <x:c r="B14" s="57" t="n">
        <x:f>1</x:f>
        <x:v>1</x:v>
      </x:c>
      <x:c r="C14" s="45" t="str">
        <x:v>CLM-092 remains explicitly limited</x:v>
      </x:c>
    </x:row>
    <x:row r="15" ht="36" customHeight="1">
      <x:c r="A15" s="48" t="str">
        <x:v>Active claim rows</x:v>
      </x:c>
      <x:c r="B15" s="57" t="n">
        <x:f>COUNTA('Claims'!$A$5:$A$62)</x:f>
        <x:v>58</x:v>
      </x:c>
      <x:c r="C15" s="45" t="str">
        <x:v>Includes two new replacement claims</x:v>
      </x:c>
    </x:row>
    <x:row r="16" ht="36" customHeight="1">
      <x:c r="A16" s="48" t="str">
        <x:v>Resolved MVP gaps</x:v>
      </x:c>
      <x:c r="B16" s="57" t="n">
        <x:f>1</x:f>
        <x:v>1</x:v>
      </x:c>
      <x:c r="C16" s="45" t="str">
        <x:v>Physical activity, with bounded wording</x:v>
      </x:c>
    </x:row>
    <x:row r="17" ht="36" customHeight="1">
      <x:c r="A17" s="48" t="str">
        <x:v>Partially resolved gaps</x:v>
      </x:c>
      <x:c r="B17" s="57" t="n">
        <x:f>4</x:f>
        <x:v>4</x:v>
      </x:c>
      <x:c r="C17" s="45" t="str">
        <x:v>Answer limits are mandatory</x:v>
      </x:c>
    </x:row>
    <x:row r="18" ht="36" customHeight="1">
      <x:c r="A18" s="49" t="str">
        <x:v>Excluded MVP feature gaps</x:v>
      </x:c>
      <x:c r="B18" s="58" t="n">
        <x:f>1</x:f>
        <x:v>1</x:v>
      </x:c>
      <x:c r="C18" s="46" t="str">
        <x:v>Biomarker claims must be excluded</x:v>
      </x:c>
    </x:row>
  </x:sheetData>
  <x:mergeCells>
    <x:mergeCell ref="A1:F1"/>
    <x:mergeCell ref="A2:F2"/>
  </x:mergeCells>
  <x:pageMargins left="0.7" right="0.7" top="0.75" bottom="0.75" header="0.3" footer="0.3"/>
</x:worksheet>
</file>