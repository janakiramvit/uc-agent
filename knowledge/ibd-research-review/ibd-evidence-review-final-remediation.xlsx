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Override PartName="/xl/worksheets/sheet6.xml" ContentType="application/vnd.openxmlformats-officedocument.spreadsheetml.worksheet+xml"/>
  <Override PartName="/xl/tables/table6.xml" ContentType="application/vnd.openxmlformats-officedocument.spreadsheetml.table+xml"/>
  <Override PartName="/xl/worksheets/sheet7.xml" ContentType="application/vnd.openxmlformats-officedocument.spreadsheetml.worksheet+xml"/>
  <Override PartName="/xl/tables/table7.xml" ContentType="application/vnd.openxmlformats-officedocument.spreadsheetml.table+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80ab6a60d254935" /></Relationships>
</file>

<file path=xl/workbook.xml><?xml version="1.0" encoding="utf-8"?>
<x:workbook xmlns:x="http://schemas.openxmlformats.org/spreadsheetml/2006/main">
  <x:sheets>
    <x:sheet xmlns:r="http://schemas.openxmlformats.org/officeDocument/2006/relationships" name="Sources" sheetId="1" r:id="R70116b320e68413a"/>
    <x:sheet xmlns:r="http://schemas.openxmlformats.org/officeDocument/2006/relationships" name="Claims" sheetId="2" r:id="Rbc67520f28ae407d"/>
    <x:sheet xmlns:r="http://schemas.openxmlformats.org/officeDocument/2006/relationships" name="Locator Corrections" sheetId="3" r:id="R01728ed7549c4fd6"/>
    <x:sheet xmlns:r="http://schemas.openxmlformats.org/officeDocument/2006/relationships" name="CLM-097 Remediation" sheetId="4" r:id="R7efde045bb614fd3"/>
    <x:sheet xmlns:r="http://schemas.openxmlformats.org/officeDocument/2006/relationships" name="Unresolved Claims" sheetId="5" r:id="Rfb8e454b9a904d0d"/>
    <x:sheet xmlns:r="http://schemas.openxmlformats.org/officeDocument/2006/relationships" name="Removed or Replaced Claims" sheetId="6" r:id="R40ee4a8e33294d99"/>
    <x:sheet xmlns:r="http://schemas.openxmlformats.org/officeDocument/2006/relationships" name="Validation Summary" sheetId="7" r:id="Rafb925c3a9ff4ddf"/>
    <x:sheet xmlns:r="http://schemas.openxmlformats.org/officeDocument/2006/relationships" name="Final Remediation Summary" sheetId="8" r:id="Ra46cabc4a46e4fc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11">
    <x:font>
      <x:sz val="11"/>
      <x:name val="Carlito"/>
    </x:font>
    <x:font>
      <x:b/>
      <x:sz val="16"/>
      <x:color rgb="FFFFFFFF"/>
      <x:name val="Carlito"/>
    </x:font>
    <x:font>
      <x:i/>
      <x:sz val="10"/>
      <x:color rgb="FF1F2937"/>
      <x:name val="Carlito"/>
    </x:font>
    <x:font>
      <x:b/>
      <x:sz val="10"/>
      <x:color rgb="FFFFFFFF"/>
      <x:name val="Carlito"/>
    </x:font>
    <x:font>
      <x:sz val="9"/>
      <x:color rgb="FF1F2937"/>
      <x:name val="Carlito"/>
    </x:font>
    <x:font>
      <x:b/>
      <x:sz val="18"/>
      <x:color rgb="FFFFFFFF"/>
      <x:name val="Carlito"/>
    </x:font>
    <x:font>
      <x:i/>
      <x:sz val="11"/>
      <x:color rgb="FF1F2937"/>
      <x:name val="Carlito"/>
    </x:font>
    <x:font>
      <x:b/>
      <x:sz val="11"/>
      <x:color rgb="FFFFFFFF"/>
      <x:name val="Carlito"/>
    </x:font>
    <x:font>
      <x:b/>
      <x:sz val="11"/>
      <x:color rgb="FF17324D"/>
      <x:name val="Carlito"/>
    </x:font>
    <x:font>
      <x:b/>
      <x:sz val="12"/>
      <x:color rgb="FF17324D"/>
      <x:name val="Carlito"/>
    </x:font>
    <x:font>
      <x:b/>
      <x:sz val="11"/>
      <x:color rgb="FF842029"/>
      <x:name val="Carlito"/>
    </x:font>
  </x:fonts>
  <x:fills count="8">
    <x:fill>
      <x:patternFill patternType="none"/>
    </x:fill>
    <x:fill>
      <x:patternFill patternType="gray125"/>
    </x:fill>
    <x:fill>
      <x:patternFill patternType="solid">
        <x:fgColor rgb="FF17324D"/>
      </x:patternFill>
    </x:fill>
    <x:fill>
      <x:patternFill patternType="solid">
        <x:fgColor rgb="FFEAF3F4"/>
      </x:patternFill>
    </x:fill>
    <x:fill>
      <x:patternFill patternType="solid">
        <x:fgColor rgb="FF2E6882"/>
      </x:patternFill>
    </x:fill>
    <x:fill>
      <x:patternFill patternType="solid">
        <x:fgColor rgb="FFFFF2B2"/>
      </x:patternFill>
    </x:fill>
    <x:fill>
      <x:patternFill patternType="solid">
        <x:fgColor rgb="FFF7F3EA"/>
      </x:patternFill>
    </x:fill>
    <x:fill>
      <x:patternFill patternType="solid">
        <x:fgColor rgb="FFF8D7DA"/>
      </x:patternFill>
    </x:fill>
  </x:fills>
  <x:borders count="7">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bottom style="thin">
        <x:color rgb="FFD6DEE5"/>
      </x:bottom>
    </x:border>
    <x:border>
      <x:top style="thin">
        <x:color rgb="FFD6DEE5"/>
      </x:top>
      <x:bottom style="thin">
        <x:color rgb="FFD6DEE5"/>
      </x:bottom>
    </x:border>
    <x:border>
      <x:top style="thin">
        <x:color rgb="FFD6DEE5"/>
      </x:top>
    </x:border>
  </x:borders>
  <x:cellStyleXfs count="1">
    <x:xf numFmtId="0" fontId="0" fillId="0" borderId="0"/>
  </x:cellStyleXfs>
  <x:cellXfs count="65">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1" xfId="0" applyNumberFormat="1" applyFont="1" applyFill="1" applyBorder="1"/>
    <x:xf numFmtId="0" fontId="3" fillId="4" borderId="2" xfId="0" applyNumberFormat="1" applyFont="1" applyFill="1" applyBorder="1"/>
    <x:xf numFmtId="0" fontId="3" fillId="4" borderId="3" xfId="0" applyNumberFormat="1" applyFont="1" applyFill="1" applyBorder="1"/>
    <x:xf numFmtId="0" fontId="3" fillId="4" borderId="1" xfId="0" applyNumberFormat="1" applyFont="1" applyFill="1" applyBorder="1" applyAlignment="1">
      <x:alignment wrapText="1"/>
    </x:xf>
    <x:xf numFmtId="0" fontId="3" fillId="4" borderId="2" xfId="0" applyNumberFormat="1" applyFont="1" applyFill="1" applyBorder="1" applyAlignment="1">
      <x:alignment wrapText="1"/>
    </x:xf>
    <x:xf numFmtId="0" fontId="3" fillId="4" borderId="3" xfId="0" applyNumberFormat="1" applyFont="1" applyFill="1" applyBorder="1" applyAlignment="1">
      <x:alignment wrapText="1"/>
    </x:xf>
    <x:xf numFmtId="0" fontId="3" fillId="4" borderId="1" xfId="0" applyNumberFormat="1" applyFont="1" applyFill="1" applyBorder="1" applyAlignment="1">
      <x:alignment vertical="center" wrapText="1"/>
    </x:xf>
    <x:xf numFmtId="0" fontId="3" fillId="4" borderId="2" xfId="0" applyNumberFormat="1" applyFont="1" applyFill="1" applyBorder="1" applyAlignment="1">
      <x:alignment vertical="center" wrapText="1"/>
    </x:xf>
    <x:xf numFmtId="0" fontId="3" fillId="4" borderId="3" xfId="0" applyNumberFormat="1" applyFont="1" applyFill="1" applyBorder="1" applyAlignment="1">
      <x:alignment vertical="center" wrapText="1"/>
    </x:xf>
    <x:xf numFmtId="0" fontId="4" fillId="0" borderId="0" xfId="0" applyNumberFormat="1" applyFont="1" applyFill="1" applyBorder="1"/>
    <x:xf numFmtId="0" fontId="4" fillId="0" borderId="4" xfId="0" applyNumberFormat="1" applyFont="1" applyFill="1" applyBorder="1"/>
    <x:xf numFmtId="0" fontId="4" fillId="0" borderId="5" xfId="0" applyNumberFormat="1" applyFont="1" applyFill="1" applyBorder="1"/>
    <x:xf numFmtId="0" fontId="4" fillId="0" borderId="6" xfId="0" applyNumberFormat="1" applyFont="1" applyFill="1" applyBorder="1"/>
    <x:xf numFmtId="0" fontId="4" fillId="0" borderId="4" xfId="0" applyNumberFormat="1" applyFont="1" applyFill="1" applyBorder="1" applyAlignment="1">
      <x:alignment wrapText="1"/>
    </x:xf>
    <x:xf numFmtId="0" fontId="4" fillId="0" borderId="5" xfId="0" applyNumberFormat="1" applyFont="1" applyFill="1" applyBorder="1" applyAlignment="1">
      <x:alignment wrapText="1"/>
    </x:xf>
    <x:xf numFmtId="0" fontId="4" fillId="0" borderId="6" xfId="0" applyNumberFormat="1" applyFont="1" applyFill="1" applyBorder="1" applyAlignment="1">
      <x:alignment wrapText="1"/>
    </x:xf>
    <x:xf numFmtId="0" fontId="4" fillId="0" borderId="4" xfId="0" applyNumberFormat="1" applyFont="1" applyFill="1" applyBorder="1" applyAlignment="1">
      <x:alignment vertical="top" wrapText="1"/>
    </x:xf>
    <x:xf numFmtId="0" fontId="4" fillId="0" borderId="5" xfId="0" applyNumberFormat="1" applyFont="1" applyFill="1" applyBorder="1" applyAlignment="1">
      <x:alignment vertical="top" wrapText="1"/>
    </x:xf>
    <x:xf numFmtId="0" fontId="4" fillId="0" borderId="6"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0" borderId="0" xfId="0" applyNumberFormat="1" applyFont="1" applyFill="1" applyBorder="1" applyAlignment="1">
      <x:alignment wrapText="1"/>
    </x:xf>
    <x:xf numFmtId="0" fontId="4" fillId="0" borderId="0"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5" fillId="2" borderId="0" xfId="0" applyNumberFormat="1" applyFont="1" applyFill="1" applyBorder="1"/>
    <x:xf numFmtId="0" fontId="6" fillId="3" borderId="0" xfId="0" applyNumberFormat="1" applyFont="1" applyFill="1" applyBorder="1"/>
    <x:xf numFmtId="0" fontId="6" fillId="3" borderId="0" xfId="0" applyNumberFormat="1" applyFont="1" applyFill="1" applyBorder="1" applyAlignment="1">
      <x:alignment wrapText="1"/>
    </x:xf>
    <x:xf numFmtId="0" fontId="7" fillId="4" borderId="0"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4"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0" fillId="0" borderId="4" xfId="0" applyNumberFormat="1" applyFont="1" applyFill="1" applyBorder="1" applyAlignment="1">
      <x:alignment vertical="center" wrapText="1"/>
    </x:xf>
    <x:xf numFmtId="0" fontId="0" fillId="0" borderId="5" xfId="0" applyNumberFormat="1" applyFont="1" applyFill="1" applyBorder="1" applyAlignment="1">
      <x:alignment vertical="center" wrapText="1"/>
    </x:xf>
    <x:xf numFmtId="0" fontId="0" fillId="0" borderId="6" xfId="0" applyNumberFormat="1" applyFont="1" applyFill="1" applyBorder="1" applyAlignment="1">
      <x:alignment vertical="center" wrapText="1"/>
    </x:xf>
    <x:xf numFmtId="0" fontId="8" fillId="0" borderId="4" xfId="0" applyNumberFormat="1" applyFont="1" applyFill="1" applyBorder="1" applyAlignment="1">
      <x:alignment vertical="center" wrapText="1"/>
    </x:xf>
    <x:xf numFmtId="0" fontId="8" fillId="0" borderId="5" xfId="0" applyNumberFormat="1" applyFont="1" applyFill="1" applyBorder="1" applyAlignment="1">
      <x:alignment vertical="center" wrapText="1"/>
    </x:xf>
    <x:xf numFmtId="0" fontId="8" fillId="0" borderId="6" xfId="0" applyNumberFormat="1" applyFont="1" applyFill="1" applyBorder="1" applyAlignment="1">
      <x:alignment vertical="center" wrapText="1"/>
    </x:xf>
    <x:xf numFmtId="0" fontId="0" fillId="6" borderId="4" xfId="0" applyNumberFormat="1" applyFont="1" applyFill="1" applyBorder="1" applyAlignment="1">
      <x:alignment vertical="center" wrapText="1"/>
    </x:xf>
    <x:xf numFmtId="0" fontId="0" fillId="6" borderId="5" xfId="0" applyNumberFormat="1" applyFont="1" applyFill="1" applyBorder="1" applyAlignment="1">
      <x:alignment vertical="center" wrapText="1"/>
    </x:xf>
    <x:xf numFmtId="0" fontId="0" fillId="6" borderId="6" xfId="0" applyNumberFormat="1" applyFont="1" applyFill="1" applyBorder="1" applyAlignment="1">
      <x:alignment vertical="center" wrapText="1"/>
    </x:xf>
    <x:xf numFmtId="0" fontId="9" fillId="6" borderId="4" xfId="0" applyNumberFormat="1" applyFont="1" applyFill="1" applyBorder="1" applyAlignment="1">
      <x:alignment vertical="center" wrapText="1"/>
    </x:xf>
    <x:xf numFmtId="0" fontId="9" fillId="6" borderId="5" xfId="0" applyNumberFormat="1" applyFont="1" applyFill="1" applyBorder="1" applyAlignment="1">
      <x:alignment vertical="center" wrapText="1"/>
    </x:xf>
    <x:xf numFmtId="0" fontId="9" fillId="6" borderId="6" xfId="0" applyNumberFormat="1" applyFont="1" applyFill="1" applyBorder="1" applyAlignment="1">
      <x:alignment vertical="center" wrapText="1"/>
    </x:xf>
    <x:xf numFmtId="200" fontId="9" fillId="6" borderId="4" xfId="0" applyNumberFormat="1" applyFont="1" applyFill="1" applyBorder="1" applyAlignment="1">
      <x:alignment vertical="center" wrapText="1"/>
    </x:xf>
    <x:xf numFmtId="200" fontId="9" fillId="6" borderId="5" xfId="0" applyNumberFormat="1" applyFont="1" applyFill="1" applyBorder="1" applyAlignment="1">
      <x:alignment vertical="center" wrapText="1"/>
    </x:xf>
    <x:xf numFmtId="200" fontId="9" fillId="6" borderId="6" xfId="0" applyNumberFormat="1" applyFont="1" applyFill="1" applyBorder="1" applyAlignment="1">
      <x:alignment vertical="center" wrapText="1"/>
    </x:xf>
    <x:xf numFmtId="0" fontId="0" fillId="7" borderId="0" xfId="0" applyNumberFormat="1" applyFont="1" applyFill="1" applyBorder="1"/>
    <x:xf numFmtId="0" fontId="10" fillId="7" borderId="0" xfId="0" applyNumberFormat="1" applyFont="1" applyFill="1" applyBorder="1"/>
    <x:xf numFmtId="0" fontId="0" fillId="0" borderId="4" xfId="0" applyNumberFormat="1" applyFont="1" applyFill="1" applyBorder="1" applyAlignment="1">
      <x:alignment vertical="top" wrapText="1"/>
    </x:xf>
    <x:xf numFmtId="0" fontId="0" fillId="0" borderId="5" xfId="0" applyNumberFormat="1" applyFont="1" applyFill="1" applyBorder="1" applyAlignment="1">
      <x:alignment vertical="top" wrapText="1"/>
    </x:xf>
    <x:xf numFmtId="0" fontId="0" fillId="0" borderId="6" xfId="0" applyNumberFormat="1" applyFont="1" applyFill="1" applyBorder="1" applyAlignment="1">
      <x:alignment vertical="top" wrapText="1"/>
    </x:xf>
  </x:cellXfs>
  <x:cellStyles count="1">
    <x:cellStyle name="Normal" xfId="0"/>
  </x:cellStyles>
  <x:dxfs count="63">
    <x:dxf>
      <x:font>
        <x:b/>
        <x:color rgb="FF155724"/>
      </x:font>
      <x:fill>
        <x:patternFill patternType="solid">
          <x:bgColor rgb="FFDDEFE2"/>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155724"/>
      </x:font>
      <x:fill>
        <x:patternFill patternType="solid">
          <x:bgColor rgb="FFDDEFE2"/>
        </x:patternFill>
      </x:fill>
    </x:dxf>
    <x:dxf>
      <x:font>
        <x:b/>
        <x:color rgb="FF7A4A00"/>
      </x:font>
      <x:fill>
        <x:patternFill patternType="solid">
          <x:bgColor rgb="FFFCE5B3"/>
        </x:patternFill>
      </x:fill>
    </x:dxf>
    <x:dxf>
      <x:font>
        <x:b/>
        <x:color rgb="FF7A4A00"/>
      </x:font>
      <x:fill>
        <x:patternFill patternType="solid">
          <x:bgColor rgb="FFFCE5B3"/>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
      <x:font>
        <x:b/>
        <x:color rgb="FF842029"/>
      </x:font>
      <x:fill>
        <x:patternFill patternType="solid">
          <x:bgColor rgb="FFF8D7DA"/>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31d907604b94837" /><Relationship Type="http://schemas.openxmlformats.org/officeDocument/2006/relationships/theme" Target="/xl/theme/theme1.xml" Id="R6d4fe8280d2e418d" /><Relationship Type="http://schemas.openxmlformats.org/officeDocument/2006/relationships/sharedStrings" Target="/xl/sharedStrings.xml" Id="Rcea80326e1a04826" /><Relationship Type="http://schemas.openxmlformats.org/officeDocument/2006/relationships/worksheet" Target="/xl/worksheets/sheet1.xml" Id="R70116b320e68413a" /><Relationship Type="http://schemas.openxmlformats.org/officeDocument/2006/relationships/worksheet" Target="/xl/worksheets/sheet2.xml" Id="Rbc67520f28ae407d" /><Relationship Type="http://schemas.openxmlformats.org/officeDocument/2006/relationships/worksheet" Target="/xl/worksheets/sheet3.xml" Id="R01728ed7549c4fd6" /><Relationship Type="http://schemas.openxmlformats.org/officeDocument/2006/relationships/worksheet" Target="/xl/worksheets/sheet4.xml" Id="R7efde045bb614fd3" /><Relationship Type="http://schemas.openxmlformats.org/officeDocument/2006/relationships/worksheet" Target="/xl/worksheets/sheet5.xml" Id="Rfb8e454b9a904d0d" /><Relationship Type="http://schemas.openxmlformats.org/officeDocument/2006/relationships/worksheet" Target="/xl/worksheets/sheet6.xml" Id="R40ee4a8e33294d99" /><Relationship Type="http://schemas.openxmlformats.org/officeDocument/2006/relationships/worksheet" Target="/xl/worksheets/sheet7.xml" Id="Rafb925c3a9ff4ddf" /><Relationship Type="http://schemas.openxmlformats.org/officeDocument/2006/relationships/worksheet" Target="/xl/worksheets/sheet8.xml" Id="Ra46cabc4a46e4fc5" /></Relationships>
</file>

<file path=xl/tables/table1.xml><?xml version="1.0" encoding="utf-8"?>
<x:table xmlns:x="http://schemas.openxmlformats.org/spreadsheetml/2006/main" id="1" name="SourcesTable" displayName="SourcesTable" ref="A4:Y30" headerRowCount="1" totalsRowCount="0" totalsRowShown="0">
  <x:autoFilter ref="A4:Y30"/>
  <x:tableColumns count="25">
    <x:tableColumn id="1" name="Source ID"/>
    <x:tableColumn id="2" name="Source status"/>
    <x:tableColumn id="3" name="Source title"/>
    <x:tableColumn id="4" name="Source type"/>
    <x:tableColumn id="5" name="Authors"/>
    <x:tableColumn id="6" name="Journal"/>
    <x:tableColumn id="7" name="Year"/>
    <x:tableColumn id="8" name="Authoritative source URL"/>
    <x:tableColumn id="9" name="Canonical URL"/>
    <x:tableColumn id="10" name="PMID"/>
    <x:tableColumn id="11" name="PMCID"/>
    <x:tableColumn id="12" name="DOI"/>
    <x:tableColumn id="13" name="Full-text verification"/>
    <x:tableColumn id="14" name="Local verification copy"/>
    <x:tableColumn id="15" name="Locator verification"/>
    <x:tableColumn id="16" name="Condition applicability"/>
    <x:tableColumn id="17" name="Disease context"/>
    <x:tableColumn id="18" name="Main relevant finding"/>
    <x:tableColumn id="19" name="Evidence/reliability limitations"/>
    <x:tableColumn id="20" name="Access/licensing note"/>
    <x:tableColumn id="21" name="Canada/US applicability"/>
    <x:tableColumn id="22" name="Regional assessment"/>
    <x:tableColumn id="23" name="Review status"/>
    <x:tableColumn id="24" name="User decision"/>
    <x:tableColumn id="25" name="User notes"/>
  </x:tableColumns>
  <x:tableStyleInfo name="TableStyleMedium2" showFirstColumn="0" showLastColumn="0" showRowStripes="1" showColumnStripes="0"/>
</x:table>
</file>

<file path=xl/tables/table2.xml><?xml version="1.0" encoding="utf-8"?>
<x:table xmlns:x="http://schemas.openxmlformats.org/spreadsheetml/2006/main" id="2" name="ClaimsTable" displayName="ClaimsTable" ref="A4:X65" headerRowCount="1" totalsRowCount="0" totalsRowShown="0">
  <x:autoFilter ref="A4:X65"/>
  <x:tableColumns count="24">
    <x:tableColumn id="1" name="Claim ID"/>
    <x:tableColumn id="2" name="Source ID"/>
    <x:tableColumn id="3" name="Split from"/>
    <x:tableColumn id="4" name="Source title"/>
    <x:tableColumn id="5" name="Topic"/>
    <x:tableColumn id="6" name="Condition applicability"/>
    <x:tableColumn id="7" name="Disease context"/>
    <x:tableColumn id="8" name="Original claim"/>
    <x:tableColumn id="9" name="QA proposed claim"/>
    <x:tableColumn id="10" name="Final remediated claim"/>
    <x:tableColumn id="11" name="Preserved supporting excerpt"/>
    <x:tableColumn id="12" name="Exact authoritative passage"/>
    <x:tableColumn id="13" name="Precise locator"/>
    <x:tableColumn id="14" name="Authoritative source URL"/>
    <x:tableColumn id="15" name="Evidence status"/>
    <x:tableColumn id="16" name="Final-QA eligibility"/>
    <x:tableColumn id="17" name="Future approved-export eligibility"/>
    <x:tableColumn id="18" name="Verification status"/>
    <x:tableColumn id="19" name="Final remediation note"/>
    <x:tableColumn id="20" name="Limitations"/>
    <x:tableColumn id="21" name="Review status"/>
    <x:tableColumn id="22" name="User decision"/>
    <x:tableColumn id="23" name="User-edited claim"/>
    <x:tableColumn id="24" name="Reviewer notes"/>
  </x:tableColumns>
  <x:tableStyleInfo name="TableStyleMedium2" showFirstColumn="0" showLastColumn="0" showRowStripes="1" showColumnStripes="0"/>
</x:table>
</file>

<file path=xl/tables/table3.xml><?xml version="1.0" encoding="utf-8"?>
<x:table xmlns:x="http://schemas.openxmlformats.org/spreadsheetml/2006/main" id="3" name="LocatorCorrectionsTable" displayName="LocatorCorrectionsTable" ref="A4:K10" headerRowCount="1" totalsRowCount="0" totalsRowShown="0">
  <x:autoFilter ref="A4:K10"/>
  <x:tableColumns count="11">
    <x:tableColumn id="1" name="Claim ID"/>
    <x:tableColumn id="2" name="Source ID"/>
    <x:tableColumn id="3" name="Preserved supporting excerpt"/>
    <x:tableColumn id="4" name="Old locator"/>
    <x:tableColumn id="5" name="Corrected precise locator"/>
    <x:tableColumn id="6" name="Exact authoritative passage"/>
    <x:tableColumn id="7" name="Authoritative source URL"/>
    <x:tableColumn id="8" name="Local verification copy"/>
    <x:tableColumn id="9" name="Verification status"/>
    <x:tableColumn id="10" name="Remediation note"/>
    <x:tableColumn id="11" name="Review status"/>
  </x:tableColumns>
  <x:tableStyleInfo name="TableStyleMedium2" showFirstColumn="0" showLastColumn="0" showRowStripes="1" showColumnStripes="0"/>
</x:table>
</file>

<file path=xl/tables/table4.xml><?xml version="1.0" encoding="utf-8"?>
<x:table xmlns:x="http://schemas.openxmlformats.org/spreadsheetml/2006/main" id="4" name="CLM097RemediationTable" displayName="CLM097RemediationTable" ref="A4:I8" headerRowCount="1" totalsRowCount="0" totalsRowShown="0">
  <x:autoFilter ref="A4:I8"/>
  <x:tableColumns count="9">
    <x:tableColumn id="1" name="Assertion ID"/>
    <x:tableColumn id="2" name="Pre-remediation assertion"/>
    <x:tableColumn id="3" name="Support status"/>
    <x:tableColumn id="4" name="Final disposition"/>
    <x:tableColumn id="5" name="Final claim ID"/>
    <x:tableColumn id="6" name="Exact supporting excerpt"/>
    <x:tableColumn id="7" name="Page, section, recommendation, and paragraph locator"/>
    <x:tableColumn id="8" name="Official ESPEN URL"/>
    <x:tableColumn id="9" name="Verification status"/>
  </x:tableColumns>
  <x:tableStyleInfo name="TableStyleMedium2" showFirstColumn="0" showLastColumn="0" showRowStripes="1" showColumnStripes="0"/>
</x:table>
</file>

<file path=xl/tables/table5.xml><?xml version="1.0" encoding="utf-8"?>
<x:table xmlns:x="http://schemas.openxmlformats.org/spreadsheetml/2006/main" id="5" name="UnresolvedClaimsTable" displayName="UnresolvedClaimsTable" ref="A4:O5" headerRowCount="1" totalsRowCount="0" totalsRowShown="0">
  <x:autoFilter ref="A4:O5"/>
  <x:tableColumns count="15">
    <x:tableColumn id="1" name="Claim ID"/>
    <x:tableColumn id="2" name="Source ID"/>
    <x:tableColumn id="3" name="Source title"/>
    <x:tableColumn id="4" name="Current limited claim"/>
    <x:tableColumn id="5" name="Supporting excerpt"/>
    <x:tableColumn id="6" name="Locator"/>
    <x:tableColumn id="7" name="Evidence status"/>
    <x:tableColumn id="8" name="Final-QA eligibility"/>
    <x:tableColumn id="9" name="Future approved-export eligibility"/>
    <x:tableColumn id="10" name="Evidence still missing"/>
    <x:tableColumn id="11" name="Remediation note"/>
    <x:tableColumn id="12" name="Review status"/>
    <x:tableColumn id="13" name="User decision"/>
    <x:tableColumn id="14" name="User-edited claim"/>
    <x:tableColumn id="15" name="Reviewer notes"/>
  </x:tableColumns>
  <x:tableStyleInfo name="TableStyleMedium2" showFirstColumn="0" showLastColumn="0" showRowStripes="1" showColumnStripes="0"/>
</x:table>
</file>

<file path=xl/tables/table6.xml><?xml version="1.0" encoding="utf-8"?>
<x:table xmlns:x="http://schemas.openxmlformats.org/spreadsheetml/2006/main" id="6" name="RemovedorReplacedClaimsTable" displayName="RemovedorReplacedClaimsTable" ref="A4:I44" headerRowCount="1" totalsRowCount="0" totalsRowShown="0">
  <x:autoFilter ref="A4:I44"/>
  <x:tableColumns count="9">
    <x:tableColumn id="1" name="Original claim ID"/>
    <x:tableColumn id="2" name="Original source ID"/>
    <x:tableColumn id="3" name="Original or pre-remediation claim"/>
    <x:tableColumn id="4" name="Accounting category"/>
    <x:tableColumn id="5" name="Replacement/final claim IDs"/>
    <x:tableColumn id="6" name="Replacement source"/>
    <x:tableColumn id="7" name="Removal/replacement reason"/>
    <x:tableColumn id="8" name="Archive/audit path"/>
    <x:tableColumn id="9" name="Review status"/>
  </x:tableColumns>
  <x:tableStyleInfo name="TableStyleMedium2" showFirstColumn="0" showLastColumn="0" showRowStripes="1" showColumnStripes="0"/>
</x:table>
</file>

<file path=xl/tables/table7.xml><?xml version="1.0" encoding="utf-8"?>
<x:table xmlns:x="http://schemas.openxmlformats.org/spreadsheetml/2006/main" id="7" name="ValidationSummaryTable" displayName="ValidationSummaryTable" ref="A4:E16" headerRowCount="1" totalsRowCount="0" totalsRowShown="0">
  <x:autoFilter ref="A4:E16"/>
  <x:tableColumns count="5">
    <x:tableColumn id="1" name="Check ID"/>
    <x:tableColumn id="2" name="Validation check"/>
    <x:tableColumn id="3" name="Scope"/>
    <x:tableColumn id="4" name="Result"/>
    <x:tableColumn id="5" name="Evidenc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f2d74a37a8384d82" /></Relationships>
</file>

<file path=xl/worksheets/_rels/sheet2.xml.rels>&#65279;<?xml version="1.0" encoding="utf-8"?><Relationships xmlns="http://schemas.openxmlformats.org/package/2006/relationships"><Relationship Type="http://schemas.openxmlformats.org/officeDocument/2006/relationships/table" Target="/xl/tables/table2.xml" Id="R83b244fb04d14158" /></Relationships>
</file>

<file path=xl/worksheets/_rels/sheet3.xml.rels>&#65279;<?xml version="1.0" encoding="utf-8"?><Relationships xmlns="http://schemas.openxmlformats.org/package/2006/relationships"><Relationship Type="http://schemas.openxmlformats.org/officeDocument/2006/relationships/table" Target="/xl/tables/table3.xml" Id="Rdf6dbca6b7154785" /></Relationships>
</file>

<file path=xl/worksheets/_rels/sheet4.xml.rels>&#65279;<?xml version="1.0" encoding="utf-8"?><Relationships xmlns="http://schemas.openxmlformats.org/package/2006/relationships"><Relationship Type="http://schemas.openxmlformats.org/officeDocument/2006/relationships/table" Target="/xl/tables/table4.xml" Id="Rf32c79fdf8934573" /></Relationships>
</file>

<file path=xl/worksheets/_rels/sheet5.xml.rels>&#65279;<?xml version="1.0" encoding="utf-8"?><Relationships xmlns="http://schemas.openxmlformats.org/package/2006/relationships"><Relationship Type="http://schemas.openxmlformats.org/officeDocument/2006/relationships/table" Target="/xl/tables/table5.xml" Id="Re6b51d5c0ba54f2b" /></Relationships>
</file>

<file path=xl/worksheets/_rels/sheet6.xml.rels>&#65279;<?xml version="1.0" encoding="utf-8"?><Relationships xmlns="http://schemas.openxmlformats.org/package/2006/relationships"><Relationship Type="http://schemas.openxmlformats.org/officeDocument/2006/relationships/table" Target="/xl/tables/table6.xml" Id="R9efb7a5d4a9d4c5a" /></Relationships>
</file>

<file path=xl/worksheets/_rels/sheet7.xml.rels>&#65279;<?xml version="1.0" encoding="utf-8"?><Relationships xmlns="http://schemas.openxmlformats.org/package/2006/relationships"><Relationship Type="http://schemas.openxmlformats.org/officeDocument/2006/relationships/table" Target="/xl/tables/table7.xml" Id="Rb1d726b97fb04c9d" /></Relationships>
</file>

<file path=xl/worksheets/sheet1.xml><?xml version="1.0" encoding="utf-8"?>
<x:worksheet xmlns:x="http://schemas.openxmlformats.org/spreadsheetml/2006/main">
  <x:sheetViews>
    <x:sheetView showGridLines="0" workbookViewId="0"/>
  </x:sheetViews>
  <x:sheetFormatPr defaultRowHeight="15"/>
  <x:cols>
    <x:col min="1" max="1" width="12" hidden="0" customWidth="1"/>
    <x:col min="2" max="2" width="23" hidden="0" customWidth="1"/>
    <x:col min="3" max="3" width="44" hidden="0" customWidth="1"/>
    <x:col min="4" max="4" width="16" hidden="0" customWidth="1"/>
    <x:col min="5" max="5" width="38" hidden="0" customWidth="1"/>
    <x:col min="6" max="6" width="24" hidden="0" customWidth="1"/>
    <x:col min="7" max="7" width="10" hidden="0" customWidth="1"/>
    <x:col min="8" max="8" width="42" hidden="0" customWidth="1"/>
    <x:col min="9" max="9" width="38" hidden="0" customWidth="1"/>
    <x:col min="10" max="10" width="14" hidden="0" customWidth="1"/>
    <x:col min="11" max="11" width="17" hidden="0" customWidth="1"/>
    <x:col min="12" max="12" width="28" hidden="0" customWidth="1"/>
    <x:col min="13" max="13" width="34" hidden="0" customWidth="1"/>
    <x:col min="14" max="14" width="48" hidden="0" customWidth="1"/>
    <x:col min="15" max="15" width="38" hidden="0" customWidth="1"/>
    <x:col min="16" max="16" width="26" hidden="0" customWidth="1"/>
    <x:col min="17" max="17" width="26" hidden="0" customWidth="1"/>
    <x:col min="18" max="18" width="44" hidden="0" customWidth="1"/>
    <x:col min="19" max="19" width="44" hidden="0" customWidth="1"/>
    <x:col min="20" max="20" width="42" hidden="0" customWidth="1"/>
    <x:col min="21" max="21" width="26" hidden="0" customWidth="1"/>
    <x:col min="22" max="22" width="42" hidden="0" customWidth="1"/>
    <x:col min="23" max="23" width="23" hidden="0" customWidth="1"/>
    <x:col min="24" max="24" width="22" hidden="0" customWidth="1"/>
    <x:col min="25" max="25" width="38" hidden="0" customWidth="1"/>
  </x:cols>
  <x:sheetData>
    <x:row r="1" ht="31" customHeight="1">
      <x:c r="A1" s="3" t="str">
        <x:v>IBD evidence sources — final targeted remediation</x:v>
      </x:c>
      <x:c r="B1" s="3"/>
      <x:c r="C1" s="3"/>
      <x:c r="D1" s="3"/>
      <x:c r="E1" s="3"/>
      <x:c r="F1" s="3"/>
      <x:c r="G1" s="3"/>
      <x:c r="H1" s="3"/>
      <x:c r="I1" s="3"/>
      <x:c r="J1" s="3"/>
      <x:c r="K1" s="3"/>
      <x:c r="L1" s="3"/>
      <x:c r="M1" s="3"/>
      <x:c r="N1" s="3"/>
      <x:c r="O1" s="3"/>
      <x:c r="P1" s="3"/>
      <x:c r="Q1" s="3"/>
      <x:c r="R1" s="3"/>
      <x:c r="S1" s="3"/>
      <x:c r="T1" s="3"/>
      <x:c r="U1" s="3"/>
      <x:c r="V1" s="3"/>
      <x:c r="W1" s="3"/>
      <x:c r="X1" s="3"/>
      <x:c r="Y1" s="3"/>
    </x:row>
    <x:row r="2" ht="46" customHeight="1">
      <x:c r="A2" s="7" t="str">
        <x:v>The source set is unchanged except for verification-trail fields on SRC-021 and SRC-022. All sources remain pending human review; yellow fields are intentionally blank.</x:v>
      </x:c>
      <x:c r="B2" s="7"/>
      <x:c r="C2" s="7"/>
      <x:c r="D2" s="7"/>
      <x:c r="E2" s="7"/>
      <x:c r="F2" s="7"/>
      <x:c r="G2" s="7"/>
      <x:c r="H2" s="7"/>
      <x:c r="I2" s="7"/>
      <x:c r="J2" s="7"/>
      <x:c r="K2" s="7"/>
      <x:c r="L2" s="7"/>
      <x:c r="M2" s="7"/>
      <x:c r="N2" s="7"/>
      <x:c r="O2" s="7"/>
      <x:c r="P2" s="7"/>
      <x:c r="Q2" s="7"/>
      <x:c r="R2" s="7"/>
      <x:c r="S2" s="7"/>
      <x:c r="T2" s="7"/>
      <x:c r="U2" s="7"/>
      <x:c r="V2" s="7"/>
      <x:c r="W2" s="7"/>
      <x:c r="X2" s="7"/>
      <x:c r="Y2" s="7"/>
    </x:row>
    <x:row r="4" ht="42" customHeight="1">
      <x:c r="A4" s="16" t="str">
        <x:v>Source ID</x:v>
      </x:c>
      <x:c r="B4" s="17" t="str">
        <x:v>Source status</x:v>
      </x:c>
      <x:c r="C4" s="17" t="str">
        <x:v>Source title</x:v>
      </x:c>
      <x:c r="D4" s="17" t="str">
        <x:v>Source type</x:v>
      </x:c>
      <x:c r="E4" s="17" t="str">
        <x:v>Authors</x:v>
      </x:c>
      <x:c r="F4" s="17" t="str">
        <x:v>Journal</x:v>
      </x:c>
      <x:c r="G4" s="17" t="str">
        <x:v>Year</x:v>
      </x:c>
      <x:c r="H4" s="17" t="str">
        <x:v>Authoritative source URL</x:v>
      </x:c>
      <x:c r="I4" s="17" t="str">
        <x:v>Canonical URL</x:v>
      </x:c>
      <x:c r="J4" s="17" t="str">
        <x:v>PMID</x:v>
      </x:c>
      <x:c r="K4" s="17" t="str">
        <x:v>PMCID</x:v>
      </x:c>
      <x:c r="L4" s="17" t="str">
        <x:v>DOI</x:v>
      </x:c>
      <x:c r="M4" s="17" t="str">
        <x:v>Full-text verification</x:v>
      </x:c>
      <x:c r="N4" s="17" t="str">
        <x:v>Local verification copy</x:v>
      </x:c>
      <x:c r="O4" s="17" t="str">
        <x:v>Locator verification</x:v>
      </x:c>
      <x:c r="P4" s="17" t="str">
        <x:v>Condition applicability</x:v>
      </x:c>
      <x:c r="Q4" s="17" t="str">
        <x:v>Disease context</x:v>
      </x:c>
      <x:c r="R4" s="17" t="str">
        <x:v>Main relevant finding</x:v>
      </x:c>
      <x:c r="S4" s="17" t="str">
        <x:v>Evidence/reliability limitations</x:v>
      </x:c>
      <x:c r="T4" s="17" t="str">
        <x:v>Access/licensing note</x:v>
      </x:c>
      <x:c r="U4" s="17" t="str">
        <x:v>Canada/US applicability</x:v>
      </x:c>
      <x:c r="V4" s="17" t="str">
        <x:v>Regional assessment</x:v>
      </x:c>
      <x:c r="W4" s="17" t="str">
        <x:v>Review status</x:v>
      </x:c>
      <x:c r="X4" s="17" t="str">
        <x:v>User decision</x:v>
      </x:c>
      <x:c r="Y4" s="18" t="str">
        <x:v>User notes</x:v>
      </x:c>
    </x:row>
    <x:row r="5" ht="84" customHeight="1">
      <x:c r="A5" s="26" t="str">
        <x:v>SRC-001</x:v>
      </x:c>
      <x:c r="B5" s="26" t="str">
        <x:v>verified_guideline</x:v>
      </x:c>
      <x:c r="C5" s="26" t="str">
        <x:v>British Society of Gastroenterology guidelines on inflammatory bowel disease in adults: 2025.</x:v>
      </x:c>
      <x:c r="D5" s="26" t="str">
        <x:v>guideline</x:v>
      </x:c>
      <x:c r="E5" s="26" t="str">
        <x:v>Gordon W Moran; Morris Gordon; Vassiliki Sinopolou; Shellie J Radford; Ana-Maria Darie; Sudheer Kumar Vuyyuru; Laith Alrubaiy; Naila Arebi; Jonathan Blackwell; Thomas D Butler; Thean Chew; Michael Colwill; Rachel Cooney; Gabriele De Marco; Said Din; Shahida Din; Roger Feakins; Marco Gasparetto; Hannah Gordon; Richard Hansen; Klaartje B Kok; Christopher Andrew Lamb; Jimmy Limdi; Eleanor Liu; Maurice B Loughrey; Dennis McGonagle; Kamal Patel; Polychronis Pavlidis; Christian Selinger; Matthew Shale; Philip J Smith; Sreedhar Subramanian; Stuart A Taylor; Gloria Shwe Zin Tun; Ajay Mark Verma; Newton A C S Wong; IBD guideline development group</x:v>
      </x:c>
      <x:c r="F5" s="26" t="str">
        <x:v>Gut</x:v>
      </x:c>
      <x:c r="G5" s="26" t="n">
        <x:v>2025</x:v>
      </x:c>
      <x:c r="H5" s="26" t="str">
        <x:v>https://pubmed.ncbi.nlm.nih.gov/40550582/</x:v>
      </x:c>
      <x:c r="I5" s="26" t="str">
        <x:v>https://pubmed.ncbi.nlm.nih.gov/40550582/</x:v>
      </x:c>
      <x:c r="J5" s="26" t="str">
        <x:v>40550582</x:v>
      </x:c>
      <x:c r="K5" s="26" t="str"/>
      <x:c r="L5" s="26" t="str">
        <x:v>10.1136/gutjnl-2024-334395</x:v>
      </x:c>
      <x:c r="M5" s="26" t="str">
        <x:v>official public full text verified</x:v>
      </x:c>
      <x:c r="N5" s="26" t="str"/>
      <x:c r="O5" s="26" t="str"/>
      <x:c r="P5" s="26" t="str">
        <x:v>ibd_general</x:v>
      </x:c>
      <x:c r="Q5" s="26" t="str">
        <x:v>remission</x:v>
      </x:c>
      <x:c r="R5" s="26" t="str">
        <x:v>Formulated through a systematic and transparent process, this document reflects a consensus of best practices based on current evidence.</x:v>
      </x:c>
      <x:c r="S5" s="26" t="str">
        <x:v>Automated metadata and passage extraction; full methods and tables require human review. Abstract-only record limits appraisal.</x:v>
      </x:c>
      <x:c r="T5" s="26" t="str">
        <x:v>Publicly accessible for verification; downstream reuse rights were not assessed.</x:v>
      </x:c>
      <x:c r="U5" s="26" t="str">
        <x:v>portable_with_qualification</x:v>
      </x:c>
      <x:c r="V5" s="26" t="str">
        <x:v>UK guideline; core evidence is relevant, but care pathways and product availability require Canada/US review.</x:v>
      </x:c>
      <x:c r="W5" s="26" t="str">
        <x:v>pending_human_review</x:v>
      </x:c>
      <x:c r="X5" s="29" t="str"/>
      <x:c r="Y5" s="29" t="str"/>
    </x:row>
    <x:row r="6" ht="84" customHeight="1">
      <x:c r="A6" s="27" t="str">
        <x:v>SRC-002</x:v>
      </x:c>
      <x:c r="B6" s="27" t="str">
        <x:v>verified_abstract_only</x:v>
      </x:c>
      <x:c r="C6" s="27" t="str">
        <x:v>AGA Clinical Practice Update on Diet and Nutritional Therapies in Patients With Inflammatory Bowel Disease: Expert Review.</x:v>
      </x:c>
      <x:c r="D6" s="27" t="str">
        <x:v>guideline</x:v>
      </x:c>
      <x:c r="E6" s="27" t="str">
        <x:v>Jana G Hashash; Jaclyn Elkins; James D Lewis; David G Binion</x:v>
      </x:c>
      <x:c r="F6" s="27" t="str">
        <x:v>Gastroenterology</x:v>
      </x:c>
      <x:c r="G6" s="27" t="n">
        <x:v>2024</x:v>
      </x:c>
      <x:c r="H6" s="27" t="str">
        <x:v>https://pubmed.ncbi.nlm.nih.gov/38276922/</x:v>
      </x:c>
      <x:c r="I6" s="27" t="str">
        <x:v>https://pubmed.ncbi.nlm.nih.gov/38276922/</x:v>
      </x:c>
      <x:c r="J6" s="27" t="str">
        <x:v>38276922</x:v>
      </x:c>
      <x:c r="K6" s="27" t="str"/>
      <x:c r="L6" s="27" t="str">
        <x:v>10.1053/j.gastro.2023.11.303</x:v>
      </x:c>
      <x:c r="M6" s="27" t="str">
        <x:v>public abstract verified; full text not legally obtained</x:v>
      </x:c>
      <x:c r="N6" s="27" t="str"/>
      <x:c r="O6" s="27" t="str"/>
      <x:c r="P6" s="27" t="str">
        <x:v>ulcerative_colitis; crohns_disease; ibd_general</x:v>
      </x:c>
      <x:c r="Q6" s="27" t="str">
        <x:v>active_disease; remission; post_surgery</x:v>
      </x:c>
      <x:c r="R6" s="27" t="str">
        <x:v>Dietary restrictions, along with the clinical complications of IBD, can result in malnutrition, an underrecognized condition among this patient population.</x:v>
      </x:c>
      <x:c r="S6" s="27" t="str">
        <x:v>Automated metadata and passage extraction; full methods and tables require human review. Abstract-only record limits appraisal.</x:v>
      </x:c>
      <x:c r="T6" s="27" t="str">
        <x:v>Publicly accessible for verification; downstream reuse rights were not assessed.</x:v>
      </x:c>
      <x:c r="U6" s="27" t="str">
        <x:v>portable_with_qualification</x:v>
      </x:c>
      <x:c r="V6" s="27" t="str">
        <x:v>Scientific findings may be relevant in Canada/US; local food, cultural, and healthcare context requires review.</x:v>
      </x:c>
      <x:c r="W6" s="27" t="str">
        <x:v>pending_human_review</x:v>
      </x:c>
      <x:c r="X6" s="30" t="str"/>
      <x:c r="Y6" s="30" t="str"/>
    </x:row>
    <x:row r="7" ht="84" customHeight="1">
      <x:c r="A7" s="27" t="str">
        <x:v>SRC-003</x:v>
      </x:c>
      <x:c r="B7" s="27" t="str">
        <x:v>superseded_replaced</x:v>
      </x:c>
      <x:c r="C7" s="27" t="str">
        <x:v>ESPEN guideline: Clinical nutrition in inflammatory bowel disease.</x:v>
      </x:c>
      <x:c r="D7" s="27" t="str">
        <x:v>guideline</x:v>
      </x:c>
      <x:c r="E7" s="27" t="str">
        <x:v>Alastair Forbes; Johanna Escher; Xavier Hébuterne; Stanisław Kłęk; Zeljko Krznaric; Stéphane Schneider; Raanan Shamir; Kalina Stardelova; Nicolette Wierdsma; Anthony E Wiskin; Stephan C Bischoff</x:v>
      </x:c>
      <x:c r="F7" s="27" t="str">
        <x:v>Clinical nutrition (Edinburgh, Scotland)</x:v>
      </x:c>
      <x:c r="G7" s="27" t="n">
        <x:v>2017</x:v>
      </x:c>
      <x:c r="H7" s="27" t="str">
        <x:v>https://pubmed.ncbi.nlm.nih.gov/28131521/</x:v>
      </x:c>
      <x:c r="I7" s="27" t="str">
        <x:v>https://pubmed.ncbi.nlm.nih.gov/28131521/</x:v>
      </x:c>
      <x:c r="J7" s="27" t="str">
        <x:v>28131521</x:v>
      </x:c>
      <x:c r="K7" s="27" t="str"/>
      <x:c r="L7" s="27" t="str">
        <x:v>10.1016/j.clnu.2016.12.027</x:v>
      </x:c>
      <x:c r="M7" s="27" t="str">
        <x:v>public abstract verified; full text not legally obtained</x:v>
      </x:c>
      <x:c r="N7" s="27" t="str"/>
      <x:c r="O7" s="27" t="str"/>
      <x:c r="P7" s="27" t="str">
        <x:v>ulcerative_colitis; crohns_disease; ibd_general</x:v>
      </x:c>
      <x:c r="Q7" s="27" t="str">
        <x:v>post_surgery</x:v>
      </x:c>
      <x:c r="R7" s="27" t="str">
        <x:v>Treatment of iron deficiency (parenterally if necessary) is strongly recommended.</x:v>
      </x:c>
      <x:c r="S7" s="27" t="str">
        <x:v>Automated metadata and passage extraction; full methods and tables require human review. Abstract-only record limits appraisal.</x:v>
      </x:c>
      <x:c r="T7" s="27" t="str">
        <x:v>Publicly accessible for verification; downstream reuse rights were not assessed.</x:v>
      </x:c>
      <x:c r="U7" s="27" t="str">
        <x:v>portable_with_qualification</x:v>
      </x:c>
      <x:c r="V7" s="27" t="str">
        <x:v>Scientific findings may be relevant in Canada/US; local food, cultural, and healthcare context requires review.</x:v>
      </x:c>
      <x:c r="W7" s="27" t="str">
        <x:v>pending_human_review</x:v>
      </x:c>
      <x:c r="X7" s="30" t="str"/>
      <x:c r="Y7" s="30" t="str"/>
    </x:row>
    <x:row r="8" ht="84" customHeight="1">
      <x:c r="A8" s="27" t="str">
        <x:v>SRC-004</x:v>
      </x:c>
      <x:c r="B8" s="27" t="str">
        <x:v>verified_full_text</x:v>
      </x:c>
      <x:c r="C8" s="27" t="str">
        <x:v>Diet, Food, and Nutritional Exposures and Inflammatory Bowel Disease or Progression of Disease: an Umbrella Review.</x:v>
      </x:c>
      <x:c r="D8" s="27" t="str">
        <x:v>review</x:v>
      </x:c>
      <x:c r="E8" s="27" t="str">
        <x:v>Camilla Christensen; Andrea Knudsen; Erik K Arnesen; Jan Gunnar Hatlebakk; Ida Sofie Sletten; Lars T Fadnes</x:v>
      </x:c>
      <x:c r="F8" s="27" t="str">
        <x:v>Advances in nutrition (Bethesda, Md.)</x:v>
      </x:c>
      <x:c r="G8" s="27" t="n">
        <x:v>2024</x:v>
      </x:c>
      <x:c r="H8" s="27" t="str">
        <x:v>https://pubmed.ncbi.nlm.nih.gov/38599319/</x:v>
      </x:c>
      <x:c r="I8" s="27" t="str">
        <x:v>https://pubmed.ncbi.nlm.nih.gov/38599319/</x:v>
      </x:c>
      <x:c r="J8" s="27" t="str">
        <x:v>38599319</x:v>
      </x:c>
      <x:c r="K8" s="27" t="str">
        <x:v>PMC11063602</x:v>
      </x:c>
      <x:c r="L8" s="27" t="str">
        <x:v>10.1016/j.advnut.2024.100219</x:v>
      </x:c>
      <x:c r="M8" s="27" t="str">
        <x:v>official public full text verified</x:v>
      </x:c>
      <x:c r="N8" s="27" t="str"/>
      <x:c r="O8" s="27" t="str"/>
      <x:c r="P8" s="27" t="str">
        <x:v>ulcerative_colitis; crohns_disease; ibd_general</x:v>
      </x:c>
      <x:c r="Q8" s="27" t="str">
        <x:v>general_or_unspecified</x:v>
      </x:c>
      <x:c r="R8" s="27" t="str">
        <x:v>Dietary factors associated with an increased incidence and/or progression of IBD include a high intake of red and processed meat, other processed foods, and refined sugars, together with a low intake of vegetables, fruits, and fiber.</x:v>
      </x:c>
      <x:c r="S8" s="27" t="str">
        <x:v>Automated metadata and passage extraction; full methods and tables require human review. Public full text available for deeper review.</x:v>
      </x:c>
      <x:c r="T8" s="27" t="str">
        <x:v>Publicly accessible for verification; downstream reuse rights were not assessed.</x:v>
      </x:c>
      <x:c r="U8" s="27" t="str">
        <x:v>portable_with_qualification</x:v>
      </x:c>
      <x:c r="V8" s="27" t="str">
        <x:v>Scientific findings may be relevant in Canada/US; local food, cultural, and healthcare context requires review.</x:v>
      </x:c>
      <x:c r="W8" s="27" t="str">
        <x:v>pending_human_review</x:v>
      </x:c>
      <x:c r="X8" s="30" t="str"/>
      <x:c r="Y8" s="30" t="str"/>
    </x:row>
    <x:row r="9" ht="84" customHeight="1">
      <x:c r="A9" s="27" t="str">
        <x:v>SRC-005</x:v>
      </x:c>
      <x:c r="B9" s="27" t="str">
        <x:v>verified_full_text</x:v>
      </x:c>
      <x:c r="C9" s="27" t="str">
        <x:v>Dietary Interventions for the Treatment of Inflammatory Bowel Diseases: An Updated Systematic Review and Meta-analysis.</x:v>
      </x:c>
      <x:c r="D9" s="27" t="str">
        <x:v>review</x:v>
      </x:c>
      <x:c r="E9" s="27" t="str">
        <x:v>Berkeley N Limketkai; Gala Godoy-Brewer; Alyssa M Parian; Shaya Noorian; Mahesh Krishna; Neha D Shah; Jacob White; Gerard E Mullin</x:v>
      </x:c>
      <x:c r="F9" s="27" t="str">
        <x:v>Clinical gastroenterology and hepatology : the official clinical practice journal of the American Gastroenterological Association</x:v>
      </x:c>
      <x:c r="G9" s="27" t="n">
        <x:v>2023</x:v>
      </x:c>
      <x:c r="H9" s="27" t="str">
        <x:v>https://pubmed.ncbi.nlm.nih.gov/36470529/</x:v>
      </x:c>
      <x:c r="I9" s="27" t="str">
        <x:v>https://pubmed.ncbi.nlm.nih.gov/36470529/</x:v>
      </x:c>
      <x:c r="J9" s="27" t="str">
        <x:v>36470529</x:v>
      </x:c>
      <x:c r="K9" s="27" t="str"/>
      <x:c r="L9" s="27" t="str">
        <x:v>10.1016/j.cgh.2022.11.026</x:v>
      </x:c>
      <x:c r="M9" s="27" t="str">
        <x:v>official public full text verified</x:v>
      </x:c>
      <x:c r="N9" s="27" t="str"/>
      <x:c r="O9" s="27" t="str"/>
      <x:c r="P9" s="27" t="str">
        <x:v>ulcerative_colitis; crohns_disease; ibd_general</x:v>
      </x:c>
      <x:c r="Q9" s="27" t="str">
        <x:v>active_disease; remission</x:v>
      </x:c>
      <x:c r="R9" s="27" t="str">
        <x:v>For induction of remission in Crohn's disease (CD), low refined carbohydrate diet and symptoms-guided diet outperformed controls, but studies had serious imprecision and very low certainty of evidence.</x:v>
      </x:c>
      <x:c r="S9" s="27" t="str">
        <x:v>Automated metadata and passage extraction; full methods and tables require human review. Abstract-only record limits appraisal.</x:v>
      </x:c>
      <x:c r="T9" s="27" t="str">
        <x:v>Publicly accessible for verification; downstream reuse rights were not assessed.</x:v>
      </x:c>
      <x:c r="U9" s="27" t="str">
        <x:v>portable_with_qualification</x:v>
      </x:c>
      <x:c r="V9" s="27" t="str">
        <x:v>Scientific findings may be relevant in Canada/US; local food, cultural, and healthcare context requires review.</x:v>
      </x:c>
      <x:c r="W9" s="27" t="str">
        <x:v>pending_human_review</x:v>
      </x:c>
      <x:c r="X9" s="30" t="str"/>
      <x:c r="Y9" s="30" t="str"/>
    </x:row>
    <x:row r="10" ht="84" customHeight="1">
      <x:c r="A10" s="27" t="str">
        <x:v>SRC-006</x:v>
      </x:c>
      <x:c r="B10" s="27" t="str">
        <x:v>verified_full_text</x:v>
      </x:c>
      <x:c r="C10" s="27" t="str">
        <x:v>Dietary fat is associated with increased inflammatory bowel disease onset risk: a systematic review and dose-response meta-analysis.</x:v>
      </x:c>
      <x:c r="D10" s="27" t="str">
        <x:v>review</x:v>
      </x:c>
      <x:c r="E10" s="27" t="str">
        <x:v>Song Zhang; Xiangyu Sui; Jiahui Wei; Miao Liu; Huanwei Zhang; Youdong Zhao; Shihang Wang; Xinxin Huang; Qiwen Fang; Shuhuai Xu; Yuyang Zheng; Chenglong Wang; Zhaoshen Li; Shengbing Zhao; Yu Bai</x:v>
      </x:c>
      <x:c r="F10" s="27" t="str">
        <x:v>International journal of surgery (London, England)</x:v>
      </x:c>
      <x:c r="G10" s="27" t="n">
        <x:v>2025</x:v>
      </x:c>
      <x:c r="H10" s="27" t="str">
        <x:v>https://pubmed.ncbi.nlm.nih.gov/40844310/</x:v>
      </x:c>
      <x:c r="I10" s="27" t="str">
        <x:v>https://pubmed.ncbi.nlm.nih.gov/40844310/</x:v>
      </x:c>
      <x:c r="J10" s="27" t="str">
        <x:v>40844310</x:v>
      </x:c>
      <x:c r="K10" s="27" t="str">
        <x:v>PMC12626460</x:v>
      </x:c>
      <x:c r="L10" s="27" t="str">
        <x:v>10.1097/JS9.0000000000003019</x:v>
      </x:c>
      <x:c r="M10" s="27" t="str">
        <x:v>official public full text verified</x:v>
      </x:c>
      <x:c r="N10" s="27" t="str"/>
      <x:c r="O10" s="27" t="str"/>
      <x:c r="P10" s="27" t="str">
        <x:v>ibd_general</x:v>
      </x:c>
      <x:c r="Q10" s="27" t="str">
        <x:v>general_or_unspecified</x:v>
      </x:c>
      <x:c r="R10" s="27" t="str">
        <x:v>RESULTS: High fat intake (RR = 1.24, 95% CI = 1.03-1.49) was modestly associated with increased IBD onset risk.</x:v>
      </x:c>
      <x:c r="S10" s="27" t="str">
        <x:v>Automated metadata and passage extraction; full methods and tables require human review. Public full text available for deeper review.</x:v>
      </x:c>
      <x:c r="T10" s="27" t="str">
        <x:v>Publicly accessible for verification; downstream reuse rights were not assessed.</x:v>
      </x:c>
      <x:c r="U10" s="27" t="str">
        <x:v>portable_with_qualification</x:v>
      </x:c>
      <x:c r="V10" s="27" t="str">
        <x:v>Scientific findings may be relevant in Canada/US; local food, cultural, and healthcare context requires review.</x:v>
      </x:c>
      <x:c r="W10" s="27" t="str">
        <x:v>pending_human_review</x:v>
      </x:c>
      <x:c r="X10" s="30" t="str"/>
      <x:c r="Y10" s="30" t="str"/>
    </x:row>
    <x:row r="11" ht="84" customHeight="1">
      <x:c r="A11" s="27" t="str">
        <x:v>SRC-007</x:v>
      </x:c>
      <x:c r="B11" s="27" t="str">
        <x:v>verified_full_text</x:v>
      </x:c>
      <x:c r="C11" s="27" t="str">
        <x:v>Systematic review and meta-analysis of lactose digestion, its impact on intolerance and nutritional effects of dairy food restriction in inflammatory bowel diseases.</x:v>
      </x:c>
      <x:c r="D11" s="27" t="str">
        <x:v>review</x:v>
      </x:c>
      <x:c r="E11" s="27" t="str">
        <x:v>Andrew Szilagyi; Polymnia Galiatsatos; Xiaoqing Xue</x:v>
      </x:c>
      <x:c r="F11" s="27" t="str">
        <x:v>Nutrition journal</x:v>
      </x:c>
      <x:c r="G11" s="27" t="n">
        <x:v>2016</x:v>
      </x:c>
      <x:c r="H11" s="27" t="str">
        <x:v>https://pubmed.ncbi.nlm.nih.gov/27411934/</x:v>
      </x:c>
      <x:c r="I11" s="27" t="str">
        <x:v>https://pubmed.ncbi.nlm.nih.gov/27411934/</x:v>
      </x:c>
      <x:c r="J11" s="27" t="str">
        <x:v>27411934</x:v>
      </x:c>
      <x:c r="K11" s="27" t="str">
        <x:v>PMC4942986</x:v>
      </x:c>
      <x:c r="L11" s="27" t="str">
        <x:v>10.1186/s12937-016-0183-8</x:v>
      </x:c>
      <x:c r="M11" s="27" t="str">
        <x:v>official public full text verified</x:v>
      </x:c>
      <x:c r="N11" s="27" t="str"/>
      <x:c r="O11" s="27" t="str"/>
      <x:c r="P11" s="27" t="str">
        <x:v>crohns_disease; ibd_general</x:v>
      </x:c>
      <x:c r="Q11" s="27" t="str">
        <x:v>general_or_unspecified</x:v>
      </x:c>
      <x:c r="R11" s="27" t="str">
        <x:v>Of these 17 were included in meta-analysis which showed overall increased lactose maldigestion in both diseases.</x:v>
      </x:c>
      <x:c r="S11" s="27" t="str">
        <x:v>Automated metadata and passage extraction; full methods and tables require human review. Public full text available for deeper review.</x:v>
      </x:c>
      <x:c r="T11" s="27" t="str">
        <x:v>Publicly accessible for verification; downstream reuse rights were not assessed.</x:v>
      </x:c>
      <x:c r="U11" s="27" t="str">
        <x:v>portable_with_qualification</x:v>
      </x:c>
      <x:c r="V11" s="27" t="str">
        <x:v>Scientific findings may be relevant in Canada/US; local food, cultural, and healthcare context requires review.</x:v>
      </x:c>
      <x:c r="W11" s="27" t="str">
        <x:v>pending_human_review</x:v>
      </x:c>
      <x:c r="X11" s="30" t="str"/>
      <x:c r="Y11" s="30" t="str"/>
    </x:row>
    <x:row r="12" ht="84" customHeight="1">
      <x:c r="A12" s="27" t="str">
        <x:v>SRC-008</x:v>
      </x:c>
      <x:c r="B12" s="27" t="str">
        <x:v>verified_full_text</x:v>
      </x:c>
      <x:c r="C12" s="27" t="str">
        <x:v>Nutrition, Nutritional Status, Micronutrients Deficiency, and Disease Course of Inflammatory Bowel Disease.</x:v>
      </x:c>
      <x:c r="D12" s="27" t="str">
        <x:v>review</x:v>
      </x:c>
      <x:c r="E12" s="27" t="str">
        <x:v>Marco Valvano; Annalisa Capannolo; Nicola Cesaro; Gianpiero Stefanelli; Stefano Fabiani; Sara Frassino; Sabrina Monaco; Marco Magistroni; Angelo Viscido; Giovanni Latella</x:v>
      </x:c>
      <x:c r="F12" s="27" t="str">
        <x:v>Nutrients</x:v>
      </x:c>
      <x:c r="G12" s="27" t="n">
        <x:v>2023</x:v>
      </x:c>
      <x:c r="H12" s="27" t="str">
        <x:v>https://pubmed.ncbi.nlm.nih.gov/37686856/</x:v>
      </x:c>
      <x:c r="I12" s="27" t="str">
        <x:v>https://pubmed.ncbi.nlm.nih.gov/37686856/</x:v>
      </x:c>
      <x:c r="J12" s="27" t="str">
        <x:v>37686856</x:v>
      </x:c>
      <x:c r="K12" s="27" t="str">
        <x:v>PMC10489664</x:v>
      </x:c>
      <x:c r="L12" s="27" t="str">
        <x:v>10.3390/nu15173824</x:v>
      </x:c>
      <x:c r="M12" s="27" t="str">
        <x:v>official public full text verified</x:v>
      </x:c>
      <x:c r="N12" s="27" t="str"/>
      <x:c r="O12" s="27" t="str"/>
      <x:c r="P12" s="27" t="str">
        <x:v>ibd_general</x:v>
      </x:c>
      <x:c r="Q12" s="27" t="str">
        <x:v>active_disease; remission; post_surgery</x:v>
      </x:c>
      <x:c r="R12" s="27" t="str">
        <x:v>The evidence summarized in this review showed that many nutritional aspects could be potential targets to induce a better control of symptoms, a deeper remission, and overall improve the quality of life of Inflammatory Bowel Disease patients.</x:v>
      </x:c>
      <x:c r="S12" s="27" t="str">
        <x:v>Automated metadata and passage extraction; full methods and tables require human review. Public full text available for deeper review.</x:v>
      </x:c>
      <x:c r="T12" s="27" t="str">
        <x:v>Publicly accessible for verification; downstream reuse rights were not assessed.</x:v>
      </x:c>
      <x:c r="U12" s="27" t="str">
        <x:v>portable_with_qualification</x:v>
      </x:c>
      <x:c r="V12" s="27" t="str">
        <x:v>Scientific findings may be relevant in Canada/US; local food, cultural, and healthcare context requires review.</x:v>
      </x:c>
      <x:c r="W12" s="27" t="str">
        <x:v>pending_human_review</x:v>
      </x:c>
      <x:c r="X12" s="30" t="str"/>
      <x:c r="Y12" s="30" t="str"/>
    </x:row>
    <x:row r="13" ht="84" customHeight="1">
      <x:c r="A13" s="27" t="str">
        <x:v>SRC-009</x:v>
      </x:c>
      <x:c r="B13" s="27" t="str">
        <x:v>verified_full_text</x:v>
      </x:c>
      <x:c r="C13" s="27" t="str">
        <x:v>Systematic review and meta-analysis of sleep quality in inactive inflammatory bowel disease.</x:v>
      </x:c>
      <x:c r="D13" s="27" t="str">
        <x:v>review</x:v>
      </x:c>
      <x:c r="E13" s="27" t="str">
        <x:v>Alex Barnes; Réme Mountifield; Justin Baker; Paul Spizzo; Peter Bampton; Sutapa Mukherjee</x:v>
      </x:c>
      <x:c r="F13" s="27" t="str">
        <x:v>JGH open : an open access journal of gastroenterology and hepatology</x:v>
      </x:c>
      <x:c r="G13" s="27" t="n">
        <x:v>2022</x:v>
      </x:c>
      <x:c r="H13" s="27" t="str">
        <x:v>https://pubmed.ncbi.nlm.nih.gov/36406652/</x:v>
      </x:c>
      <x:c r="I13" s="27" t="str">
        <x:v>https://pubmed.ncbi.nlm.nih.gov/36406652/</x:v>
      </x:c>
      <x:c r="J13" s="27" t="str">
        <x:v>36406652</x:v>
      </x:c>
      <x:c r="K13" s="27" t="str">
        <x:v>PMC9667405</x:v>
      </x:c>
      <x:c r="L13" s="27" t="str">
        <x:v>10.1002/jgh3.12817</x:v>
      </x:c>
      <x:c r="M13" s="27" t="str">
        <x:v>official public full text verified</x:v>
      </x:c>
      <x:c r="N13" s="27" t="str"/>
      <x:c r="O13" s="27" t="str"/>
      <x:c r="P13" s="27" t="str">
        <x:v>ibd_general</x:v>
      </x:c>
      <x:c r="Q13" s="27" t="str">
        <x:v>general_or_unspecified</x:v>
      </x:c>
      <x:c r="R13" s="27" t="str">
        <x:v>Poor sleep in people with inflammatory bowel disease (IBD) has been demonstrated to be prevalent and has been associated with disease activity.</x:v>
      </x:c>
      <x:c r="S13" s="27" t="str">
        <x:v>Automated metadata and passage extraction; full methods and tables require human review. Public full text available for deeper review.</x:v>
      </x:c>
      <x:c r="T13" s="27" t="str">
        <x:v>Publicly accessible for verification; downstream reuse rights were not assessed.</x:v>
      </x:c>
      <x:c r="U13" s="27" t="str">
        <x:v>portable_with_qualification</x:v>
      </x:c>
      <x:c r="V13" s="27" t="str">
        <x:v>Scientific findings may be relevant in Canada/US; local food, cultural, and healthcare context requires review.</x:v>
      </x:c>
      <x:c r="W13" s="27" t="str">
        <x:v>pending_human_review</x:v>
      </x:c>
      <x:c r="X13" s="30" t="str"/>
      <x:c r="Y13" s="30" t="str"/>
    </x:row>
    <x:row r="14" ht="84" customHeight="1">
      <x:c r="A14" s="27" t="str">
        <x:v>SRC-010</x:v>
      </x:c>
      <x:c r="B14" s="27" t="str">
        <x:v>verified_full_text</x:v>
      </x:c>
      <x:c r="C14" s="27" t="str">
        <x:v>Assessment of causal link between psychological factors and symptom exacerbation in inflammatory bowel disease: a systematic review utilising Bradford Hill criteria and meta-analysis of prospective cohort studies.</x:v>
      </x:c>
      <x:c r="D14" s="27" t="str">
        <x:v>review</x:v>
      </x:c>
      <x:c r="E14" s="27" t="str">
        <x:v>Mariyana Schoultz; Michelle Beattie; Trish Gorely; Janni Leung</x:v>
      </x:c>
      <x:c r="F14" s="27" t="str">
        <x:v>Systematic reviews</x:v>
      </x:c>
      <x:c r="G14" s="27" t="n">
        <x:v>2020</x:v>
      </x:c>
      <x:c r="H14" s="27" t="str">
        <x:v>https://pubmed.ncbi.nlm.nih.gov/32738908/</x:v>
      </x:c>
      <x:c r="I14" s="27" t="str">
        <x:v>https://pubmed.ncbi.nlm.nih.gov/32738908/</x:v>
      </x:c>
      <x:c r="J14" s="27" t="str">
        <x:v>32738908</x:v>
      </x:c>
      <x:c r="K14" s="27" t="str">
        <x:v>PMC7395978</x:v>
      </x:c>
      <x:c r="L14" s="27" t="str">
        <x:v>10.1186/s13643-020-01426-2</x:v>
      </x:c>
      <x:c r="M14" s="27" t="str">
        <x:v>official public full text verified</x:v>
      </x:c>
      <x:c r="N14" s="27" t="str"/>
      <x:c r="O14" s="27" t="str"/>
      <x:c r="P14" s="27" t="str">
        <x:v>ibd_general</x:v>
      </x:c>
      <x:c r="Q14" s="27" t="str">
        <x:v>general_or_unspecified</x:v>
      </x:c>
      <x:c r="R14" s="27" t="str">
        <x:v>Meta-analysis showed depression, anxiety and perceived stress did not have a statistically significant association with an increased risk of symptom exacerbation.</x:v>
      </x:c>
      <x:c r="S14" s="27" t="str">
        <x:v>Automated metadata and passage extraction; full methods and tables require human review. Public full text available for deeper review.</x:v>
      </x:c>
      <x:c r="T14" s="27" t="str">
        <x:v>Publicly accessible for verification; downstream reuse rights were not assessed.</x:v>
      </x:c>
      <x:c r="U14" s="27" t="str">
        <x:v>portable_with_qualification</x:v>
      </x:c>
      <x:c r="V14" s="27" t="str">
        <x:v>Scientific findings may be relevant in Canada/US; local food, cultural, and healthcare context requires review.</x:v>
      </x:c>
      <x:c r="W14" s="27" t="str">
        <x:v>pending_human_review</x:v>
      </x:c>
      <x:c r="X14" s="30" t="str"/>
      <x:c r="Y14" s="30" t="str"/>
    </x:row>
    <x:row r="15" ht="84" customHeight="1">
      <x:c r="A15" s="27" t="str">
        <x:v>SRC-011</x:v>
      </x:c>
      <x:c r="B15" s="27" t="str">
        <x:v>verified_full_text</x:v>
      </x:c>
      <x:c r="C15" s="27" t="str">
        <x:v>Association of Dietary Fiber, Fruit, and Vegetable Consumption with Risk of Inflammatory Bowel Disease: A Systematic Review and Meta-Analysis.</x:v>
      </x:c>
      <x:c r="D15" s="27" t="str">
        <x:v>review</x:v>
      </x:c>
      <x:c r="E15" s="27" t="str">
        <x:v>Alireza Milajerdi; Nasser Ebrahimi-Daryani; Levinus A Dieleman; Bagher Larijani; Ahmad Esmaillzadeh</x:v>
      </x:c>
      <x:c r="F15" s="27" t="str">
        <x:v>Advances in nutrition (Bethesda, Md.)</x:v>
      </x:c>
      <x:c r="G15" s="27" t="n">
        <x:v>2021</x:v>
      </x:c>
      <x:c r="H15" s="27" t="str">
        <x:v>https://pubmed.ncbi.nlm.nih.gov/33186988/</x:v>
      </x:c>
      <x:c r="I15" s="27" t="str">
        <x:v>https://pubmed.ncbi.nlm.nih.gov/33186988/</x:v>
      </x:c>
      <x:c r="J15" s="27" t="str">
        <x:v>33186988</x:v>
      </x:c>
      <x:c r="K15" s="27" t="str">
        <x:v>PMC8166559</x:v>
      </x:c>
      <x:c r="L15" s="27" t="str">
        <x:v>10.1093/advances/nmaa145</x:v>
      </x:c>
      <x:c r="M15" s="27" t="str">
        <x:v>official public full text verified</x:v>
      </x:c>
      <x:c r="N15" s="27" t="str"/>
      <x:c r="O15" s="27" t="str"/>
      <x:c r="P15" s="27" t="str">
        <x:v>ulcerative_colitis; crohns_disease; ibd_general</x:v>
      </x:c>
      <x:c r="Q15" s="27" t="str">
        <x:v>general_or_unspecified</x:v>
      </x:c>
      <x:c r="R15" s="27" t="str">
        <x:v>In conclusion, dietary intake of fruit and vegetables was inversely associated with risk of IBD and its subtypes.</x:v>
      </x:c>
      <x:c r="S15" s="27" t="str">
        <x:v>Automated metadata and passage extraction; full methods and tables require human review. Public full text available for deeper review.</x:v>
      </x:c>
      <x:c r="T15" s="27" t="str">
        <x:v>Publicly accessible for verification; downstream reuse rights were not assessed.</x:v>
      </x:c>
      <x:c r="U15" s="27" t="str">
        <x:v>portable_with_qualification</x:v>
      </x:c>
      <x:c r="V15" s="27" t="str">
        <x:v>Scientific findings may be relevant in Canada/US; local food, cultural, and healthcare context requires review.</x:v>
      </x:c>
      <x:c r="W15" s="27" t="str">
        <x:v>pending_human_review</x:v>
      </x:c>
      <x:c r="X15" s="30" t="str"/>
      <x:c r="Y15" s="30" t="str"/>
    </x:row>
    <x:row r="16" ht="84" customHeight="1">
      <x:c r="A16" s="27" t="str">
        <x:v>SRC-012</x:v>
      </x:c>
      <x:c r="B16" s="27" t="str">
        <x:v>verified_full_text</x:v>
      </x:c>
      <x:c r="C16" s="27" t="str">
        <x:v>Efficacy and safety of probiotics in the induction and maintenance of inflammatory bowel disease remission: a systematic review and meta-analysis.</x:v>
      </x:c>
      <x:c r="D16" s="27" t="str">
        <x:v>review</x:v>
      </x:c>
      <x:c r="E16" s="27" t="str">
        <x:v>Mingshi Chen; Yan Feng; Wanli Liu</x:v>
      </x:c>
      <x:c r="F16" s="27" t="str">
        <x:v>Annals of palliative medicine</x:v>
      </x:c>
      <x:c r="G16" s="27" t="n">
        <x:v>2021</x:v>
      </x:c>
      <x:c r="H16" s="27" t="str">
        <x:v>https://pubmed.ncbi.nlm.nih.gov/34872306/</x:v>
      </x:c>
      <x:c r="I16" s="27" t="str">
        <x:v>https://pubmed.ncbi.nlm.nih.gov/34872306/</x:v>
      </x:c>
      <x:c r="J16" s="27" t="str">
        <x:v>34872306</x:v>
      </x:c>
      <x:c r="K16" s="27" t="str"/>
      <x:c r="L16" s="27" t="str">
        <x:v>10.21037/apm-21-2996</x:v>
      </x:c>
      <x:c r="M16" s="27" t="str">
        <x:v>official public full text verified</x:v>
      </x:c>
      <x:c r="N16" s="27" t="str"/>
      <x:c r="O16" s="27" t="str"/>
      <x:c r="P16" s="27" t="str">
        <x:v>ulcerative_colitis; crohns_disease; ibd_general</x:v>
      </x:c>
      <x:c r="Q16" s="27" t="str">
        <x:v>active_disease; remission</x:v>
      </x:c>
      <x:c r="R16" s="27" t="str">
        <x:v>RESULTS: A total of ten RCTs were included, which included 777 patients with ulcerative colitis (UC) and Crohn's disease (CD).</x:v>
      </x:c>
      <x:c r="S16" s="27" t="str">
        <x:v>Automated metadata and passage extraction; full methods and tables require human review. Abstract-only record limits appraisal.</x:v>
      </x:c>
      <x:c r="T16" s="27" t="str">
        <x:v>Publicly accessible for verification; downstream reuse rights were not assessed.</x:v>
      </x:c>
      <x:c r="U16" s="27" t="str">
        <x:v>portable_with_qualification</x:v>
      </x:c>
      <x:c r="V16" s="27" t="str">
        <x:v>Scientific findings may be relevant in Canada/US; local food, cultural, and healthcare context requires review.</x:v>
      </x:c>
      <x:c r="W16" s="27" t="str">
        <x:v>pending_human_review</x:v>
      </x:c>
      <x:c r="X16" s="30" t="str"/>
      <x:c r="Y16" s="30" t="str"/>
    </x:row>
    <x:row r="17" ht="84" customHeight="1">
      <x:c r="A17" s="27" t="str">
        <x:v>SRC-013</x:v>
      </x:c>
      <x:c r="B17" s="27" t="str">
        <x:v>verified_abstract_only</x:v>
      </x:c>
      <x:c r="C17" s="27" t="str">
        <x:v>Ultra-processed foods and food additives in gut health and disease.</x:v>
      </x:c>
      <x:c r="D17" s="27" t="str">
        <x:v>review</x:v>
      </x:c>
      <x:c r="E17" s="27" t="str">
        <x:v>Kevin Whelan; Aaron S Bancil; James O Lindsay; Benoit Chassaing</x:v>
      </x:c>
      <x:c r="F17" s="27" t="str">
        <x:v>Nature reviews. Gastroenterology &amp; hepatology</x:v>
      </x:c>
      <x:c r="G17" s="27" t="n">
        <x:v>2024</x:v>
      </x:c>
      <x:c r="H17" s="27" t="str">
        <x:v>https://pubmed.ncbi.nlm.nih.gov/38388570/</x:v>
      </x:c>
      <x:c r="I17" s="27" t="str">
        <x:v>https://pubmed.ncbi.nlm.nih.gov/38388570/</x:v>
      </x:c>
      <x:c r="J17" s="27" t="str">
        <x:v>38388570</x:v>
      </x:c>
      <x:c r="K17" s="27" t="str"/>
      <x:c r="L17" s="27" t="str">
        <x:v>10.1038/s41575-024-00893-5</x:v>
      </x:c>
      <x:c r="M17" s="27" t="str">
        <x:v>public abstract verified; full text not legally obtained</x:v>
      </x:c>
      <x:c r="N17" s="27" t="str"/>
      <x:c r="O17" s="27" t="str"/>
      <x:c r="P17" s="27" t="str">
        <x:v>ibd_general</x:v>
      </x:c>
      <x:c r="Q17" s="27" t="str">
        <x:v>general_or_unspecified</x:v>
      </x:c>
      <x:c r="R17" s="27" t="str">
        <x:v>For example, evidence shows that some emulsifiers, sweeteners, colours, and microparticles and nanoparticles have effects on a range of outcomes, including the gut microbiome, intestinal permeability and intestinal inflammation.</x:v>
      </x:c>
      <x:c r="S17" s="27" t="str">
        <x:v>Automated metadata and passage extraction; full methods and tables require human review. Public full text available for deeper review.</x:v>
      </x:c>
      <x:c r="T17" s="27" t="str">
        <x:v>Publicly accessible for verification; downstream reuse rights were not assessed.</x:v>
      </x:c>
      <x:c r="U17" s="27" t="str">
        <x:v>portable_with_qualification</x:v>
      </x:c>
      <x:c r="V17" s="27" t="str">
        <x:v>Scientific findings may be relevant in Canada/US; local food, cultural, and healthcare context requires review.</x:v>
      </x:c>
      <x:c r="W17" s="27" t="str">
        <x:v>pending_human_review</x:v>
      </x:c>
      <x:c r="X17" s="30" t="str"/>
      <x:c r="Y17" s="30" t="str"/>
    </x:row>
    <x:row r="18" ht="84" customHeight="1">
      <x:c r="A18" s="27" t="str">
        <x:v>SRC-014</x:v>
      </x:c>
      <x:c r="B18" s="27" t="str">
        <x:v>verified_full_text</x:v>
      </x:c>
      <x:c r="C18" s="27" t="str">
        <x:v>Physical Activity is Associated with a Decreased Risk of Developing Inflammatory Bowel Disease: A Systematic Review and Meta-analysis.</x:v>
      </x:c>
      <x:c r="D18" s="27" t="str">
        <x:v>review</x:v>
      </x:c>
      <x:c r="E18" s="27" t="str">
        <x:v>Ho Tuan Tiong; Dali Fan; Chris Frampton; Ashwin N Ananthakrishnan; Richard B Gearry</x:v>
      </x:c>
      <x:c r="F18" s="27" t="str">
        <x:v>Journal of Crohn's &amp; colitis</x:v>
      </x:c>
      <x:c r="G18" s="27" t="n">
        <x:v>2024</x:v>
      </x:c>
      <x:c r="H18" s="27" t="str">
        <x:v>https://pubmed.ncbi.nlm.nih.gov/38597690/</x:v>
      </x:c>
      <x:c r="I18" s="27" t="str">
        <x:v>https://pubmed.ncbi.nlm.nih.gov/38597690/</x:v>
      </x:c>
      <x:c r="J18" s="27" t="str">
        <x:v>38597690</x:v>
      </x:c>
      <x:c r="K18" s="27" t="str"/>
      <x:c r="L18" s="27" t="str">
        <x:v>10.1093/ecco-jcc/jjae053</x:v>
      </x:c>
      <x:c r="M18" s="27" t="str">
        <x:v>official public full text verified</x:v>
      </x:c>
      <x:c r="N18" s="27" t="str"/>
      <x:c r="O18" s="27" t="str"/>
      <x:c r="P18" s="27" t="str">
        <x:v>ulcerative_colitis; crohns_disease; ibd_general</x:v>
      </x:c>
      <x:c r="Q18" s="27" t="str">
        <x:v>general_or_unspecified</x:v>
      </x:c>
      <x:c r="R18" s="27" t="str">
        <x:v>CONCLUSION: This meta-analysis suggests that physical activity is inversely associated with the risk of developing IBD, more so in CD than in UC.</x:v>
      </x:c>
      <x:c r="S18" s="27" t="str">
        <x:v>Automated metadata and passage extraction; full methods and tables require human review. Abstract-only record limits appraisal.</x:v>
      </x:c>
      <x:c r="T18" s="27" t="str">
        <x:v>Publicly accessible for verification; downstream reuse rights were not assessed.</x:v>
      </x:c>
      <x:c r="U18" s="27" t="str">
        <x:v>portable_with_qualification</x:v>
      </x:c>
      <x:c r="V18" s="27" t="str">
        <x:v>Scientific findings may be relevant in Canada/US; local food, cultural, and healthcare context requires review.</x:v>
      </x:c>
      <x:c r="W18" s="27" t="str">
        <x:v>pending_human_review</x:v>
      </x:c>
      <x:c r="X18" s="30" t="str"/>
      <x:c r="Y18" s="30" t="str"/>
    </x:row>
    <x:row r="19" ht="84" customHeight="1">
      <x:c r="A19" s="27" t="str">
        <x:v>SRC-015</x:v>
      </x:c>
      <x:c r="B19" s="27" t="str">
        <x:v>verified_abstract_only</x:v>
      </x:c>
      <x:c r="C19" s="27" t="str">
        <x:v>Environmental Risk Factors for Inflammatory Bowel Diseases: An Umbrella Review of Meta-analyses.</x:v>
      </x:c>
      <x:c r="D19" s="27" t="str">
        <x:v>review</x:v>
      </x:c>
      <x:c r="E19" s="27" t="str">
        <x:v>Daniele Piovani; Silvio Danese; Laurent Peyrin-Biroulet; Georgios K Nikolopoulos; Theodore Lytras; Stefanos Bonovas</x:v>
      </x:c>
      <x:c r="F19" s="27" t="str">
        <x:v>Gastroenterology</x:v>
      </x:c>
      <x:c r="G19" s="27" t="n">
        <x:v>2019</x:v>
      </x:c>
      <x:c r="H19" s="27" t="str">
        <x:v>https://pubmed.ncbi.nlm.nih.gov/31014995/</x:v>
      </x:c>
      <x:c r="I19" s="27" t="str">
        <x:v>https://pubmed.ncbi.nlm.nih.gov/31014995/</x:v>
      </x:c>
      <x:c r="J19" s="27" t="str">
        <x:v>31014995</x:v>
      </x:c>
      <x:c r="K19" s="27" t="str"/>
      <x:c r="L19" s="27" t="str">
        <x:v>10.1053/j.gastro.2019.04.016</x:v>
      </x:c>
      <x:c r="M19" s="27" t="str">
        <x:v>public abstract verified; full text not legally obtained</x:v>
      </x:c>
      <x:c r="N19" s="27" t="str"/>
      <x:c r="O19" s="27" t="str"/>
      <x:c r="P19" s="27" t="str">
        <x:v>ulcerative_colitis; crohns_disease; ibd_general</x:v>
      </x:c>
      <x:c r="Q19" s="27" t="str">
        <x:v>general_or_unspecified</x:v>
      </x:c>
      <x:c r="R19" s="27" t="str">
        <x:v>BACKGROUND &amp; AIMS: Multiple environmental factors have been associated with the development of inflammatory bowel diseases (IBDs).</x:v>
      </x:c>
      <x:c r="S19" s="27" t="str">
        <x:v>Automated metadata and passage extraction; full methods and tables require human review. Abstract-only record limits appraisal.</x:v>
      </x:c>
      <x:c r="T19" s="27" t="str">
        <x:v>Publicly accessible for verification; downstream reuse rights were not assessed.</x:v>
      </x:c>
      <x:c r="U19" s="27" t="str">
        <x:v>portable_with_qualification</x:v>
      </x:c>
      <x:c r="V19" s="27" t="str">
        <x:v>Scientific findings may be relevant in Canada/US; local food, cultural, and healthcare context requires review.</x:v>
      </x:c>
      <x:c r="W19" s="27" t="str">
        <x:v>pending_human_review</x:v>
      </x:c>
      <x:c r="X19" s="30" t="str"/>
      <x:c r="Y19" s="30" t="str"/>
    </x:row>
    <x:row r="20" ht="84" customHeight="1">
      <x:c r="A20" s="27" t="str">
        <x:v>SRC-016</x:v>
      </x:c>
      <x:c r="B20" s="27" t="str">
        <x:v>verified_full_text</x:v>
      </x:c>
      <x:c r="C20" s="27" t="str">
        <x:v>A Randomized Trial Comparing the Specific Carbohydrate Diet to a Mediterranean Diet in Adults With Crohn's Disease.</x:v>
      </x:c>
      <x:c r="D20" s="27" t="str">
        <x:v>study</x:v>
      </x:c>
      <x:c r="E20" s="27" t="str">
        <x:v>James D Lewis; Robert S Sandler; Carol Brotherton; Colleen Brensinger; Hongzhe Li; Michael D Kappelman; Scott G Daniel; Kyle Bittinger; Lindsey Albenberg; John F Valentine; John S Hanson; David L Suskind; Andrea Meyer; Charlene W Compher; Meenakshi Bewtra; Akriti Saxena; Angela Dobes; Benjamin L Cohen; Ann D Flynn; Monika Fischer; Sumona Saha; Arun Swaminath; Bruce Yacyshyn; Ellen Scherl; Sara Horst; Jeffrey R Curtis; Kimberly Braly; Lisa Nessel; Maureen McCauley; Liam McKeever; Hans Herfarth; DINE-CD Study Group</x:v>
      </x:c>
      <x:c r="F20" s="27" t="str">
        <x:v>Gastroenterology</x:v>
      </x:c>
      <x:c r="G20" s="27" t="n">
        <x:v>2021</x:v>
      </x:c>
      <x:c r="H20" s="27" t="str">
        <x:v>https://pubmed.ncbi.nlm.nih.gov/34052278/</x:v>
      </x:c>
      <x:c r="I20" s="27" t="str">
        <x:v>https://pubmed.ncbi.nlm.nih.gov/34052278/</x:v>
      </x:c>
      <x:c r="J20" s="27" t="str">
        <x:v>34052278</x:v>
      </x:c>
      <x:c r="K20" s="27" t="str">
        <x:v>PMC8396394</x:v>
      </x:c>
      <x:c r="L20" s="27" t="str">
        <x:v>10.1053/j.gastro.2021.05.047</x:v>
      </x:c>
      <x:c r="M20" s="27" t="str">
        <x:v>official public full text verified</x:v>
      </x:c>
      <x:c r="N20" s="27" t="str"/>
      <x:c r="O20" s="27" t="str"/>
      <x:c r="P20" s="27" t="str">
        <x:v>crohns_disease</x:v>
      </x:c>
      <x:c r="Q20" s="27" t="str">
        <x:v>remission</x:v>
      </x:c>
      <x:c r="R20" s="27" t="str">
        <x:v>CONCLUSIONS: The SCD was not superior to the MD to achieve symptomatic remission, FC response, and CRP response.</x:v>
      </x:c>
      <x:c r="S20" s="27" t="str">
        <x:v>Automated metadata and passage extraction; full methods and tables require human review. Public full text available for deeper review.</x:v>
      </x:c>
      <x:c r="T20" s="27" t="str">
        <x:v>Publicly accessible for verification; downstream reuse rights were not assessed.</x:v>
      </x:c>
      <x:c r="U20" s="27" t="str">
        <x:v>portable_with_qualification</x:v>
      </x:c>
      <x:c r="V20" s="27" t="str">
        <x:v>Scientific findings may be relevant in Canada/US; local food, cultural, and healthcare context requires review.</x:v>
      </x:c>
      <x:c r="W20" s="27" t="str">
        <x:v>pending_human_review</x:v>
      </x:c>
      <x:c r="X20" s="30" t="str"/>
      <x:c r="Y20" s="30" t="str"/>
    </x:row>
    <x:row r="21" ht="84" customHeight="1">
      <x:c r="A21" s="27" t="str">
        <x:v>SRC-017</x:v>
      </x:c>
      <x:c r="B21" s="27" t="str">
        <x:v>verified_abstract_only</x:v>
      </x:c>
      <x:c r="C21" s="27" t="str">
        <x:v>Crohn's Disease Exclusion Diet Plus Partial Enteral Nutrition Induces Sustained Remission in a Randomized Controlled Trial.</x:v>
      </x:c>
      <x:c r="D21" s="27" t="str">
        <x:v>study</x:v>
      </x:c>
      <x:c r="E21" s="27" t="str">
        <x:v>Arie Levine; Eytan Wine; Amit Assa; Rotem Sigall Boneh; Ron Shaoul; Michal Kori; Shlomi Cohen; Sarit Peleg; Hussein Shamaly; Avi On; Peri Millman; Lee Abramas; Tomer Ziv-Baran; Shannan Grant; Guila Abitbol; Katherine A Dunn; Joseph P Bielawski; Johan Van Limbergen</x:v>
      </x:c>
      <x:c r="F21" s="27" t="str">
        <x:v>Gastroenterology</x:v>
      </x:c>
      <x:c r="G21" s="27" t="n">
        <x:v>2019</x:v>
      </x:c>
      <x:c r="H21" s="27" t="str">
        <x:v>https://pubmed.ncbi.nlm.nih.gov/31170412/</x:v>
      </x:c>
      <x:c r="I21" s="27" t="str">
        <x:v>https://pubmed.ncbi.nlm.nih.gov/31170412/</x:v>
      </x:c>
      <x:c r="J21" s="27" t="str">
        <x:v>31170412</x:v>
      </x:c>
      <x:c r="K21" s="27" t="str"/>
      <x:c r="L21" s="27" t="str">
        <x:v>10.1053/j.gastro.2019.04.021</x:v>
      </x:c>
      <x:c r="M21" s="27" t="str">
        <x:v>public abstract verified; full text not legally obtained</x:v>
      </x:c>
      <x:c r="N21" s="27" t="str"/>
      <x:c r="O21" s="27" t="str"/>
      <x:c r="P21" s="27" t="str">
        <x:v>crohns_disease</x:v>
      </x:c>
      <x:c r="Q21" s="27" t="str">
        <x:v>remission</x:v>
      </x:c>
      <x:c r="R21" s="27" t="str">
        <x:v>BACKGROUND &amp; AIMS: Exclusive enteral nutrition (EEN) is recommended for children with mild to moderate Crohn's disease (CD), but implementation is challenging.</x:v>
      </x:c>
      <x:c r="S21" s="27" t="str">
        <x:v>Automated metadata and passage extraction; full methods and tables require human review. Abstract-only record limits appraisal.</x:v>
      </x:c>
      <x:c r="T21" s="27" t="str">
        <x:v>Publicly accessible for verification; downstream reuse rights were not assessed.</x:v>
      </x:c>
      <x:c r="U21" s="27" t="str">
        <x:v>portable_with_qualification</x:v>
      </x:c>
      <x:c r="V21" s="27" t="str">
        <x:v>Scientific findings may be relevant in Canada/US; local food, cultural, and healthcare context requires review.</x:v>
      </x:c>
      <x:c r="W21" s="27" t="str">
        <x:v>pending_human_review</x:v>
      </x:c>
      <x:c r="X21" s="30" t="str"/>
      <x:c r="Y21" s="30" t="str"/>
    </x:row>
    <x:row r="22" ht="84" customHeight="1">
      <x:c r="A22" s="27" t="str">
        <x:v>SRC-018</x:v>
      </x:c>
      <x:c r="B22" s="27" t="str">
        <x:v>verified_full_text</x:v>
      </x:c>
      <x:c r="C22" s="27" t="str">
        <x:v>A Diet Low in Red and Processed Meat Does Not Reduce Rate of Crohn's Disease Flares.</x:v>
      </x:c>
      <x:c r="D22" s="27" t="str">
        <x:v>study</x:v>
      </x:c>
      <x:c r="E22" s="27" t="str">
        <x:v>Lindsey Albenberg; Colleen M Brensinger; Qufei Wu; Erin Gilroy; Michael D Kappelman; Robert S Sandler; James D Lewis</x:v>
      </x:c>
      <x:c r="F22" s="27" t="str">
        <x:v>Gastroenterology</x:v>
      </x:c>
      <x:c r="G22" s="27" t="n">
        <x:v>2019</x:v>
      </x:c>
      <x:c r="H22" s="27" t="str">
        <x:v>https://pubmed.ncbi.nlm.nih.gov/30872105/</x:v>
      </x:c>
      <x:c r="I22" s="27" t="str">
        <x:v>https://pubmed.ncbi.nlm.nih.gov/30872105/</x:v>
      </x:c>
      <x:c r="J22" s="27" t="str">
        <x:v>30872105</x:v>
      </x:c>
      <x:c r="K22" s="27" t="str">
        <x:v>PMC6726378</x:v>
      </x:c>
      <x:c r="L22" s="27" t="str">
        <x:v>10.1053/j.gastro.2019.03.015</x:v>
      </x:c>
      <x:c r="M22" s="27" t="str">
        <x:v>official public full text verified</x:v>
      </x:c>
      <x:c r="N22" s="27" t="str"/>
      <x:c r="O22" s="27" t="str"/>
      <x:c r="P22" s="27" t="str">
        <x:v>crohns_disease; ibd_general</x:v>
      </x:c>
      <x:c r="Q22" s="27" t="str">
        <x:v>remission; post_surgery</x:v>
      </x:c>
      <x:c r="R22" s="27" t="str">
        <x:v>We performed a randomized controlled trial to determine whether reduced consumption of red and processed meats decreases the risk of symptomatic relapse of CD, analyzing results from the Food and Crohn's Disease Exacerbation Study (FACES) trial.</x:v>
      </x:c>
      <x:c r="S22" s="27" t="str">
        <x:v>Automated metadata and passage extraction; full methods and tables require human review. Public full text available for deeper review.</x:v>
      </x:c>
      <x:c r="T22" s="27" t="str">
        <x:v>Publicly accessible for verification; downstream reuse rights were not assessed.</x:v>
      </x:c>
      <x:c r="U22" s="27" t="str">
        <x:v>portable_with_qualification</x:v>
      </x:c>
      <x:c r="V22" s="27" t="str">
        <x:v>Scientific findings may be relevant in Canada/US; local food, cultural, and healthcare context requires review.</x:v>
      </x:c>
      <x:c r="W22" s="27" t="str">
        <x:v>pending_human_review</x:v>
      </x:c>
      <x:c r="X22" s="30" t="str"/>
      <x:c r="Y22" s="30" t="str"/>
    </x:row>
    <x:row r="23" ht="84" customHeight="1">
      <x:c r="A23" s="27" t="str">
        <x:v>SRC-019</x:v>
      </x:c>
      <x:c r="B23" s="27" t="str">
        <x:v>verified_full_text</x:v>
      </x:c>
      <x:c r="C23" s="27" t="str">
        <x:v>A randomized, 6-wk trial of a low FODMAP diet in patients with inflammatory bowel disease.</x:v>
      </x:c>
      <x:c r="D23" s="27" t="str">
        <x:v>study</x:v>
      </x:c>
      <x:c r="E23" s="27" t="str">
        <x:v>Giorgia Bodini; Claudia Zanella; Mattia Crespi; Sara Lo Pumo; Maria Giulia Demarzo; Edoardo Savarino; Vincenzo Savarino; Edoardo G Giannini</x:v>
      </x:c>
      <x:c r="F23" s="27" t="str">
        <x:v>Nutrition (Burbank, Los Angeles County, Calif.)</x:v>
      </x:c>
      <x:c r="G23" s="27" t="n">
        <x:v>2019</x:v>
      </x:c>
      <x:c r="H23" s="27" t="str">
        <x:v>https://pubmed.ncbi.nlm.nih.gov/31470260/</x:v>
      </x:c>
      <x:c r="I23" s="27" t="str">
        <x:v>https://pubmed.ncbi.nlm.nih.gov/31470260/</x:v>
      </x:c>
      <x:c r="J23" s="27" t="str">
        <x:v>31470260</x:v>
      </x:c>
      <x:c r="K23" s="27" t="str"/>
      <x:c r="L23" s="27" t="str">
        <x:v>10.1016/j.nut.2019.06.023</x:v>
      </x:c>
      <x:c r="M23" s="27" t="str">
        <x:v>official public full text verified</x:v>
      </x:c>
      <x:c r="N23" s="27" t="str"/>
      <x:c r="O23" s="27" t="str"/>
      <x:c r="P23" s="27" t="str">
        <x:v>ibd_general</x:v>
      </x:c>
      <x:c r="Q23" s="27" t="str">
        <x:v>remission</x:v>
      </x:c>
      <x:c r="R23" s="27" t="str">
        <x:v>CONCLUSIONS: A short-term, LFD is safe for patients with IBD, and is associated with an amelioration of fecal inflammatory markers and quality of life even in patients with mainly quiescent disease.</x:v>
      </x:c>
      <x:c r="S23" s="27" t="str">
        <x:v>Automated metadata and passage extraction; full methods and tables require human review. Abstract-only record limits appraisal.</x:v>
      </x:c>
      <x:c r="T23" s="27" t="str">
        <x:v>Publicly accessible for verification; downstream reuse rights were not assessed.</x:v>
      </x:c>
      <x:c r="U23" s="27" t="str">
        <x:v>portable_with_qualification</x:v>
      </x:c>
      <x:c r="V23" s="27" t="str">
        <x:v>Scientific findings may be relevant in Canada/US; local food, cultural, and healthcare context requires review.</x:v>
      </x:c>
      <x:c r="W23" s="27" t="str">
        <x:v>pending_human_review</x:v>
      </x:c>
      <x:c r="X23" s="30" t="str"/>
      <x:c r="Y23" s="30" t="str"/>
    </x:row>
    <x:row r="24" ht="84" customHeight="1">
      <x:c r="A24" s="27" t="str">
        <x:v>SRC-020</x:v>
      </x:c>
      <x:c r="B24" s="27" t="str">
        <x:v>verified_full_text</x:v>
      </x:c>
      <x:c r="C24" s="27" t="str">
        <x:v>Association of ultra-processed food intake with risk of inflammatory bowel disease: prospective cohort study.</x:v>
      </x:c>
      <x:c r="D24" s="27" t="str">
        <x:v>study</x:v>
      </x:c>
      <x:c r="E24" s="27" t="str">
        <x:v>Neeraj Narula; Emily C L Wong; Mahshid Dehghan; Andrew Mente; Sumathy Rangarajan; Fernando Lanas; Patricio Lopez-Jaramillo; Priyanka Rohatgi; P V M Lakshmi; Ravi Prasad Varma; Andres Orlandini; Alvaro Avezum; Andreas Wielgosz; Paul Poirier; Majid A Almadi; Yuksel Altuntas; Kien Keat Ng; Jephat Chifamba; Karen Yeates; Thandi Puoane; Rasha Khatib; Rita Yusuf; Kristina Bengtsson Boström; Katarzyna Zatonska; Romaina Iqbal; Liu Weida; Zhu Yibing; Li Sidong; Antonio Dans; Afzalhussein Yusufali; Noushin Mohammadifard; John K Marshall; Paul Moayyedi; Walter Reinisch; Salim Yusuf</x:v>
      </x:c>
      <x:c r="F24" s="27" t="str">
        <x:v>BMJ (Clinical research ed.)</x:v>
      </x:c>
      <x:c r="G24" s="27" t="n">
        <x:v>2021</x:v>
      </x:c>
      <x:c r="H24" s="27" t="str">
        <x:v>https://pubmed.ncbi.nlm.nih.gov/34261638/</x:v>
      </x:c>
      <x:c r="I24" s="27" t="str">
        <x:v>https://pubmed.ncbi.nlm.nih.gov/34261638/</x:v>
      </x:c>
      <x:c r="J24" s="27" t="str">
        <x:v>34261638</x:v>
      </x:c>
      <x:c r="K24" s="27" t="str">
        <x:v>PMC8279036</x:v>
      </x:c>
      <x:c r="L24" s="27" t="str">
        <x:v>10.1136/bmj.n1554</x:v>
      </x:c>
      <x:c r="M24" s="27" t="str">
        <x:v>official public full text verified</x:v>
      </x:c>
      <x:c r="N24" s="27" t="str"/>
      <x:c r="O24" s="27" t="str"/>
      <x:c r="P24" s="27" t="str">
        <x:v>ulcerative_colitis; crohns_disease; ibd_general</x:v>
      </x:c>
      <x:c r="Q24" s="27" t="str">
        <x:v>general_or_unspecified</x:v>
      </x:c>
      <x:c r="R24"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S24" s="27" t="str">
        <x:v>Automated metadata and passage extraction; full methods and tables require human review. Public full text available for deeper review.</x:v>
      </x:c>
      <x:c r="T24" s="27" t="str">
        <x:v>Publicly accessible for verification; downstream reuse rights were not assessed.</x:v>
      </x:c>
      <x:c r="U24" s="27" t="str">
        <x:v>portable_with_qualification</x:v>
      </x:c>
      <x:c r="V24" s="27" t="str">
        <x:v>Scientific findings may be relevant in Canada/US; local food, cultural, and healthcare context requires review.</x:v>
      </x:c>
      <x:c r="W24" s="27" t="str">
        <x:v>pending_human_review</x:v>
      </x:c>
      <x:c r="X24" s="30" t="str"/>
      <x:c r="Y24" s="30" t="str"/>
    </x:row>
    <x:row r="25" ht="84" customHeight="1">
      <x:c r="A25" s="27" t="str">
        <x:v>SRC-021</x:v>
      </x:c>
      <x:c r="B25" s="27" t="str">
        <x:v>verified_guideline</x:v>
      </x:c>
      <x:c r="C25" s="27" t="str">
        <x:v>European Crohn’s and Colitis Organisation consensus on dietary management of inflammatory bowel disease</x:v>
      </x:c>
      <x:c r="D25" s="27" t="str">
        <x:v>guideline</x:v>
      </x:c>
      <x:c r="E25" s="27" t="str"/>
      <x:c r="F25" s="27" t="str"/>
      <x:c r="G25" s="27" t="n">
        <x:v>2025</x:v>
      </x:c>
      <x:c r="H25" s="27" t="str">
        <x:v>https://academic.oup.com/ecco-jcc/article/19/9/jjaf122/8198055</x:v>
      </x:c>
      <x:c r="I25" s="27" t="str">
        <x:v>https://academic.oup.com/ecco-jcc/article/19/9/jjaf122/8198055</x:v>
      </x:c>
      <x:c r="J25" s="27" t="str"/>
      <x:c r="K25" s="27" t="str"/>
      <x:c r="L25" s="27" t="str">
        <x:v>10.1093/ecco-jcc/jjaf122</x:v>
      </x:c>
      <x:c r="M25" s="27" t="str">
        <x:v>official public full text verified</x:v>
      </x:c>
      <x:c r="N25" s="27" t="str">
        <x:v>/Users/janakirampulipati/ibd-research-review/sources/final-remediation/SRC-021-authoritative.html</x:v>
      </x:c>
      <x:c r="O25" s="27" t="str">
        <x:v>numbered_sections_verified_against_nonempty_authoritative_capture</x:v>
      </x:c>
      <x:c r="P25" s="27" t="str">
        <x:v>ulcerative_colitis; crohns_disease; ibd_general</x:v>
      </x:c>
      <x:c r="Q25" s="27" t="str">
        <x:v>general_or_unspecified</x:v>
      </x:c>
      <x:c r="R25" s="27" t="str">
        <x:v>In the absence of a specific dietary intervention that is recommended by an IBD healthcare professional, healthy eating guidelines should be followed by people with IBD, as recommended for the general population.</x:v>
      </x:c>
      <x:c r="S25" s="27" t="str">
        <x:v>Patient information is explanatory, not a substitute for clinical evidence or individualized care.</x:v>
      </x:c>
      <x:c r="T25" s="27" t="str">
        <x:v>Official public article captured for verification only; downstream reuse rights were not assessed.</x:v>
      </x:c>
      <x:c r="U25" s="27" t="str">
        <x:v>portable_with_qualification</x:v>
      </x:c>
      <x:c r="V25" s="27" t="str">
        <x:v>ECCO consensus; recommendations require local Canada/US clinician and dietitian interpretation.</x:v>
      </x:c>
      <x:c r="W25" s="27" t="str">
        <x:v>pending_human_review</x:v>
      </x:c>
      <x:c r="X25" s="30" t="str"/>
      <x:c r="Y25" s="30" t="str"/>
    </x:row>
    <x:row r="26" ht="84" customHeight="1">
      <x:c r="A26" s="27" t="str">
        <x:v>SRC-022</x:v>
      </x:c>
      <x:c r="B26" s="27" t="str">
        <x:v>verified_guideline</x:v>
      </x:c>
      <x:c r="C26" s="27" t="str">
        <x:v>ECCO Guidelines on Therapeutics in Crohn’s Disease: Medical Treatment</x:v>
      </x:c>
      <x:c r="D26" s="27" t="str">
        <x:v>guideline</x:v>
      </x:c>
      <x:c r="E26" s="27" t="str"/>
      <x:c r="F26" s="27" t="str"/>
      <x:c r="G26" s="27" t="n">
        <x:v>2024</x:v>
      </x:c>
      <x:c r="H26" s="27" t="str">
        <x:v>https://academic.oup.com/ecco-jcc/article/18/10/1531/7693895</x:v>
      </x:c>
      <x:c r="I26" s="27" t="str">
        <x:v>https://academic.oup.com/ecco-jcc/article/18/10/1531/7693895</x:v>
      </x:c>
      <x:c r="J26" s="27" t="str"/>
      <x:c r="K26" s="27" t="str"/>
      <x:c r="L26" s="27" t="str">
        <x:v>10.1093/ecco-jcc/jjae091</x:v>
      </x:c>
      <x:c r="M26" s="27" t="str">
        <x:v>official public full text verified</x:v>
      </x:c>
      <x:c r="N26" s="27" t="str">
        <x:v>/Users/janakirampulipati/ibd-research-review/sources/final-remediation/SRC-022-authoritative.html</x:v>
      </x:c>
      <x:c r="O26" s="27" t="str">
        <x:v>numbered_sections_verified_against_nonempty_authoritative_capture</x:v>
      </x:c>
      <x:c r="P26" s="27" t="str">
        <x:v>crohns_disease</x:v>
      </x:c>
      <x:c r="Q26" s="27" t="str">
        <x:v>general_or_unspecified</x:v>
      </x:c>
      <x:c r="R26" s="27" t="str">
        <x:v>There is emerging evidence that dietary therapies may be beneficial in reducing the inflammatory burden in Crohn's disease.</x:v>
      </x:c>
      <x:c r="S26" s="27" t="str">
        <x:v>Patient information is explanatory, not a substitute for clinical evidence or individualized care.</x:v>
      </x:c>
      <x:c r="T26" s="27" t="str">
        <x:v>Official public article captured for verification only; downstream reuse rights were not assessed.</x:v>
      </x:c>
      <x:c r="U26" s="27" t="str">
        <x:v>portable_with_qualification</x:v>
      </x:c>
      <x:c r="V26" s="27" t="str">
        <x:v>ECCO guidance; healthcare delivery and formula availability may differ in Canada/US.</x:v>
      </x:c>
      <x:c r="W26" s="27" t="str">
        <x:v>pending_human_review</x:v>
      </x:c>
      <x:c r="X26" s="30" t="str"/>
      <x:c r="Y26" s="30" t="str"/>
    </x:row>
    <x:row r="27" ht="84" customHeight="1">
      <x:c r="A27" s="27" t="str">
        <x:v>SRC-023</x:v>
      </x:c>
      <x:c r="B27" s="27" t="str">
        <x:v>verified_full_text</x:v>
      </x:c>
      <x:c r="C27" s="27" t="str">
        <x:v>Eating, Diet, &amp; Nutrition for Crohn’s Disease</x:v>
      </x:c>
      <x:c r="D27" s="27" t="str">
        <x:v>expert</x:v>
      </x:c>
      <x:c r="E27" s="27" t="str"/>
      <x:c r="F27" s="27" t="str"/>
      <x:c r="G27" s="27" t="n">
        <x:v>2024</x:v>
      </x:c>
      <x:c r="H27" s="27" t="str">
        <x:v>https://www.niddk.nih.gov/health-information/digestive-diseases/crohns-disease/eating-diet-nutrition</x:v>
      </x:c>
      <x:c r="I27" s="27" t="str">
        <x:v>https://www.niddk.nih.gov/health-information/digestive-diseases/crohns-disease/eating-diet-nutrition</x:v>
      </x:c>
      <x:c r="J27" s="27" t="str"/>
      <x:c r="K27" s="27" t="str"/>
      <x:c r="L27" s="27" t="str"/>
      <x:c r="M27" s="27" t="str">
        <x:v>official public full text verified</x:v>
      </x:c>
      <x:c r="N27" s="27" t="str"/>
      <x:c r="O27" s="27" t="str"/>
      <x:c r="P27" s="27" t="str">
        <x:v>crohns_disease</x:v>
      </x:c>
      <x:c r="Q27" s="27" t="str">
        <x:v>general_or_unspecified</x:v>
      </x:c>
      <x:c r="R27" s="27" t="str">
        <x:v>Depending on your symptoms and the medicines you take, your doctor may recommend changes to what you eat and drink.</x:v>
      </x:c>
      <x:c r="S27" s="27" t="str">
        <x:v>Patient information is explanatory, not a substitute for clinical evidence or individualized care.</x:v>
      </x:c>
      <x:c r="T27" s="27" t="str">
        <x:v>Publicly accessible for verification; downstream reuse rights were not assessed.</x:v>
      </x:c>
      <x:c r="U27" s="27" t="str">
        <x:v>direct_us</x:v>
      </x:c>
      <x:c r="V27" s="27" t="str">
        <x:v>US federal patient-information source; Canada should confirm local terminology and services.</x:v>
      </x:c>
      <x:c r="W27" s="27" t="str">
        <x:v>pending_human_review</x:v>
      </x:c>
      <x:c r="X27" s="30" t="str"/>
      <x:c r="Y27" s="30" t="str"/>
    </x:row>
    <x:row r="28" ht="84" customHeight="1">
      <x:c r="A28" s="27" t="str">
        <x:v>SRC-024</x:v>
      </x:c>
      <x:c r="B28" s="27" t="str">
        <x:v>verified_full_text</x:v>
      </x:c>
      <x:c r="C28" s="27" t="str">
        <x:v>What Should I Eat with IBD?</x:v>
      </x:c>
      <x:c r="D28" s="27" t="str">
        <x:v>expert</x:v>
      </x:c>
      <x:c r="E28" s="27" t="str"/>
      <x:c r="F28" s="27" t="str"/>
      <x:c r="G28" s="27" t="n">
        <x:v>2026</x:v>
      </x:c>
      <x:c r="H28" s="27" t="str">
        <x:v>https://www.crohnscolitisfoundation.org/patientsandcaregivers/diet-and-nutrition/what-should-i-eat</x:v>
      </x:c>
      <x:c r="I28" s="27" t="str">
        <x:v>https://www.crohnscolitisfoundation.org/patientsandcaregivers/diet-and-nutrition/what-should-i-eat</x:v>
      </x:c>
      <x:c r="J28" s="27" t="str"/>
      <x:c r="K28" s="27" t="str"/>
      <x:c r="L28" s="27" t="str"/>
      <x:c r="M28" s="27" t="str">
        <x:v>official public full text verified</x:v>
      </x:c>
      <x:c r="N28" s="27" t="str"/>
      <x:c r="O28" s="27" t="str"/>
      <x:c r="P28" s="27" t="str">
        <x:v>ulcerative_colitis; crohns_disease; ibd_general</x:v>
      </x:c>
      <x:c r="Q28" s="27" t="str">
        <x:v>general_or_unspecified</x:v>
      </x:c>
      <x:c r="R28" s="27" t="str">
        <x:v>After reviewing the recommendations, the Foundation has determined that the information in our Diet and Nutrition resources remains unchanged for the IBD community.</x:v>
      </x:c>
      <x:c r="S28" s="27" t="str">
        <x:v>Patient information is explanatory, not a substitute for clinical evidence or individualized care.</x:v>
      </x:c>
      <x:c r="T28" s="27" t="str">
        <x:v>Publicly accessible for verification; downstream reuse rights were not assessed.</x:v>
      </x:c>
      <x:c r="U28" s="27" t="str">
        <x:v>direct_us</x:v>
      </x:c>
      <x:c r="V28" s="27" t="str">
        <x:v>US IBD-organization source; broadly portable to Canada with local clinical review.</x:v>
      </x:c>
      <x:c r="W28" s="27" t="str">
        <x:v>pending_human_review</x:v>
      </x:c>
      <x:c r="X28" s="30" t="str"/>
      <x:c r="Y28" s="30" t="str"/>
    </x:row>
    <x:row r="29" ht="84" customHeight="1">
      <x:c r="A29" s="27" t="str">
        <x:v>SRC-025</x:v>
      </x:c>
      <x:c r="B29" s="27" t="str">
        <x:v>verified_full_text</x:v>
      </x:c>
      <x:c r="C29" s="27" t="str">
        <x:v>Food and IBD</x:v>
      </x:c>
      <x:c r="D29" s="27" t="str">
        <x:v>expert</x:v>
      </x:c>
      <x:c r="E29" s="27" t="str"/>
      <x:c r="F29" s="27" t="str"/>
      <x:c r="G29" s="27" t="n">
        <x:v>2026</x:v>
      </x:c>
      <x:c r="H29" s="27" t="str">
        <x:v>https://www.crohnsandcolitis.org.uk/info-support/information-about-crohns-and-colitis/all-information-about-crohns-and-colitis/living-with-crohns-or-colitis/food</x:v>
      </x:c>
      <x:c r="I29" s="27" t="str">
        <x:v>https://www.crohnsandcolitis.org.uk/info-support/information-about-crohns-and-colitis/all-information-about-crohns-and-colitis/living-with-crohns-or-colitis/food</x:v>
      </x:c>
      <x:c r="J29" s="27" t="str"/>
      <x:c r="K29" s="27" t="str"/>
      <x:c r="L29" s="27" t="str"/>
      <x:c r="M29" s="27" t="str">
        <x:v>official public full text verified</x:v>
      </x:c>
      <x:c r="N29" s="27" t="str"/>
      <x:c r="O29" s="27" t="str"/>
      <x:c r="P29" s="27" t="str">
        <x:v>ulcerative_colitis; crohns_disease; ibd_general</x:v>
      </x:c>
      <x:c r="Q29" s="27" t="str">
        <x:v>general_or_unspecified</x:v>
      </x:c>
      <x:c r="R29" s="27" t="str">
        <x:v>Melanie Living with Crohn's Fruit and vegetables It is recommended that people try to eat at least five portions of a variety of fruit and vegetables every day.</x:v>
      </x:c>
      <x:c r="S29" s="27" t="str">
        <x:v>Patient information is explanatory, not a substitute for clinical evidence or individualized care.</x:v>
      </x:c>
      <x:c r="T29" s="27" t="str">
        <x:v>Publicly accessible for verification; downstream reuse rights were not assessed.</x:v>
      </x:c>
      <x:c r="U29" s="27" t="str">
        <x:v>portable_with_qualification</x:v>
      </x:c>
      <x:c r="V29" s="27" t="str">
        <x:v>UK patient-information source; alcohol units, fibre terminology, and services require Canada/US qualification.</x:v>
      </x:c>
      <x:c r="W29" s="27" t="str">
        <x:v>pending_human_review</x:v>
      </x:c>
      <x:c r="X29" s="30" t="str"/>
      <x:c r="Y29" s="30" t="str"/>
    </x:row>
    <x:row r="30" ht="84" customHeight="1">
      <x:c r="A30" s="28" t="str">
        <x:v>SRC-026</x:v>
      </x:c>
      <x:c r="B30" s="28" t="str">
        <x:v>verified_guideline</x:v>
      </x:c>
      <x:c r="C30" s="28" t="str">
        <x:v>ESPEN guideline on Clinical Nutrition in inflammatory bowel disease.</x:v>
      </x:c>
      <x:c r="D30" s="28" t="str">
        <x:v>guideline</x:v>
      </x:c>
      <x:c r="E30" s="28" t="str">
        <x:v>Stephan C Bischoff; Palle Bager; Johanna Escher; Alastair Forbes; Xavier Hébuterne; Christian Lodberg Hvas; Francisca Joly; Stansilaw Klek; Zeljko Krznaric; Johann Ockenga; Stéphane Schneider; Raanan Shamir; Kalina Stardelova; Darija Vranesic Bender; Nicolette Wierdsma; Arved Weimann</x:v>
      </x:c>
      <x:c r="F30" s="28" t="str">
        <x:v>Clinical Nutrition</x:v>
      </x:c>
      <x:c r="G30" s="28" t="n">
        <x:v>2023</x:v>
      </x:c>
      <x:c r="H30" s="28" t="str">
        <x:v>https://www.espen.org/files/ESPEN-Guidelines/ESPEN_guideline_on_Clinical_nutrition_in_inflammatory_bowel_disease.pdf</x:v>
      </x:c>
      <x:c r="I30" s="28" t="str">
        <x:v>https://pubmed.ncbi.nlm.nih.gov/36739756/</x:v>
      </x:c>
      <x:c r="J30" s="28" t="str">
        <x:v>36739756</x:v>
      </x:c>
      <x:c r="K30" s="28" t="str"/>
      <x:c r="L30" s="28" t="str">
        <x:v>10.1016/j.clnu.2022.12.004</x:v>
      </x:c>
      <x:c r="M30" s="28" t="str">
        <x:v>official public full text verified</x:v>
      </x:c>
      <x:c r="N30" s="28" t="str"/>
      <x:c r="O30" s="28" t="str"/>
      <x:c r="P30" s="28" t="str">
        <x:v>ibd_general; crohns_disease; ulcerative_colitis</x:v>
      </x:c>
      <x:c r="Q30" s="28" t="str">
        <x:v>active_disease; remission; perioperative; stricturing_disease</x:v>
      </x:c>
      <x:c r="R30" s="28" t="str">
        <x:v>The 2023 guideline updates and extends the 2017 ESPEN IBD nutrition guideline with 71 recommendations.</x:v>
      </x:c>
      <x:c r="S30" s="28" t="str">
        <x:v>Guideline recommendations include evidence extrapolation and good-practice points; individual care requires a qualified clinical team.</x:v>
      </x:c>
      <x:c r="T30" s="28" t="str">
        <x:v>Publicly accessible for verification; downstream reuse rights were not assessed.</x:v>
      </x:c>
      <x:c r="U30" s="28" t="str">
        <x:v>portable_with_qualification</x:v>
      </x:c>
      <x:c r="V30" s="28" t="str">
        <x:v>ESPEN guideline; scientific content is broadly relevant, but perioperative pathways and products require local Canada/US review.</x:v>
      </x:c>
      <x:c r="W30" s="28" t="str">
        <x:v>pending_human_review</x:v>
      </x:c>
      <x:c r="X30" s="31" t="str"/>
      <x:c r="Y30" s="31" t="str"/>
    </x:row>
  </x:sheetData>
  <x:mergeCells>
    <x:mergeCell ref="A1:Y1"/>
    <x:mergeCell ref="A2:Y2"/>
  </x:mergeCells>
  <x:conditionalFormatting sqref="B5:B30">
    <x:cfRule type="containsText" dxfId="0" priority="1" operator="containsText" text="PASS"/>
    <x:cfRule type="containsText" dxfId="1" priority="2" operator="containsText" text="ready"/>
    <x:cfRule type="containsText" dxfId="2" priority="3" operator="containsText" text="supported"/>
    <x:cfRule type="containsText" dxfId="3" priority="4" operator="containsText" text="pending"/>
    <x:cfRule type="containsText" dxfId="4" priority="5" operator="containsText" text="needs"/>
    <x:cfRule type="containsText" dxfId="5" priority="6" operator="containsText" text="unresolved"/>
    <x:cfRule type="containsText" dxfId="6" priority="7" operator="containsText" text="excluded"/>
    <x:cfRule type="containsText" dxfId="7" priority="8" operator="containsText" text="removed"/>
    <x:cfRule type="containsText" dxfId="8" priority="9" operator="containsText" text="superseded"/>
  </x:conditionalFormatting>
  <x:pageMargins left="0.7" right="0.7" top="0.75" bottom="0.75" header="0.3" footer="0.3"/>
  <x:tableParts count="1">
    <x:tablePart xmlns:r="http://schemas.openxmlformats.org/officeDocument/2006/relationships" r:id="Rf2d74a37a8384d82"/>
  </x:tableParts>
</x:worksheet>
</file>

<file path=xl/worksheets/sheet2.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14" hidden="0" customWidth="1"/>
    <x:col min="4" max="4" width="38" hidden="0" customWidth="1"/>
    <x:col min="5" max="5" width="22" hidden="0" customWidth="1"/>
    <x:col min="6" max="6" width="25" hidden="0" customWidth="1"/>
    <x:col min="7" max="7" width="25" hidden="0" customWidth="1"/>
    <x:col min="8" max="8" width="48" hidden="0" customWidth="1"/>
    <x:col min="9" max="9" width="48" hidden="0" customWidth="1"/>
    <x:col min="10" max="10" width="60" hidden="0" customWidth="1"/>
    <x:col min="11" max="11" width="56" hidden="0" customWidth="1"/>
    <x:col min="12" max="12" width="62" hidden="0" customWidth="1"/>
    <x:col min="13" max="13" width="54" hidden="0" customWidth="1"/>
    <x:col min="14" max="14" width="42" hidden="0" customWidth="1"/>
    <x:col min="15" max="15" width="25" hidden="0" customWidth="1"/>
    <x:col min="16" max="16" width="32" hidden="0" customWidth="1"/>
    <x:col min="17" max="17" width="40" hidden="0" customWidth="1"/>
    <x:col min="18" max="18" width="36" hidden="0" customWidth="1"/>
    <x:col min="19" max="19" width="48" hidden="0" customWidth="1"/>
    <x:col min="20" max="20" width="40" hidden="0" customWidth="1"/>
    <x:col min="21" max="21" width="23" hidden="0" customWidth="1"/>
    <x:col min="22" max="22" width="22" hidden="0" customWidth="1"/>
    <x:col min="23" max="23" width="48" hidden="0" customWidth="1"/>
    <x:col min="24" max="24" width="38" hidden="0" customWidth="1"/>
  </x:cols>
  <x:sheetData>
    <x:row r="1" ht="31" customHeight="1">
      <x:c r="A1" s="3" t="str">
        <x:v>IBD evidence claims — final targeted remediation</x:v>
      </x:c>
      <x:c r="B1" s="3"/>
      <x:c r="C1" s="3"/>
      <x:c r="D1" s="3"/>
      <x:c r="E1" s="3"/>
      <x:c r="F1" s="3"/>
      <x:c r="G1" s="3"/>
      <x:c r="H1" s="3"/>
      <x:c r="I1" s="3"/>
      <x:c r="J1" s="3"/>
      <x:c r="K1" s="3"/>
      <x:c r="L1" s="3"/>
      <x:c r="M1" s="3"/>
      <x:c r="N1" s="3"/>
      <x:c r="O1" s="3"/>
      <x:c r="P1" s="3"/>
      <x:c r="Q1" s="3"/>
      <x:c r="R1" s="3"/>
      <x:c r="S1" s="3"/>
      <x:c r="T1" s="3"/>
      <x:c r="U1" s="3"/>
      <x:c r="V1" s="3"/>
      <x:c r="W1" s="3"/>
      <x:c r="X1" s="3"/>
    </x:row>
    <x:row r="2" ht="46" customHeight="1">
      <x:c r="A2" s="7" t="str">
        <x:v>Sixty claims are ready for one final independent QA; CLM-092 remains unresolved and excluded. CLM-097 is atomic and CLM-098–CLM-100 preserve its independently supported split assertions.</x:v>
      </x:c>
      <x:c r="B2" s="7"/>
      <x:c r="C2" s="7"/>
      <x:c r="D2" s="7"/>
      <x:c r="E2" s="7"/>
      <x:c r="F2" s="7"/>
      <x:c r="G2" s="7"/>
      <x:c r="H2" s="7"/>
      <x:c r="I2" s="7"/>
      <x:c r="J2" s="7"/>
      <x:c r="K2" s="7"/>
      <x:c r="L2" s="7"/>
      <x:c r="M2" s="7"/>
      <x:c r="N2" s="7"/>
      <x:c r="O2" s="7"/>
      <x:c r="P2" s="7"/>
      <x:c r="Q2" s="7"/>
      <x:c r="R2" s="7"/>
      <x:c r="S2" s="7"/>
      <x:c r="T2" s="7"/>
      <x:c r="U2" s="7"/>
      <x:c r="V2" s="7"/>
      <x:c r="W2" s="7"/>
      <x:c r="X2" s="7"/>
    </x:row>
    <x:row r="4" ht="42" customHeight="1">
      <x:c r="A4" s="16" t="str">
        <x:v>Claim ID</x:v>
      </x:c>
      <x:c r="B4" s="17" t="str">
        <x:v>Source ID</x:v>
      </x:c>
      <x:c r="C4" s="17" t="str">
        <x:v>Split from</x:v>
      </x:c>
      <x:c r="D4" s="17" t="str">
        <x:v>Source title</x:v>
      </x:c>
      <x:c r="E4" s="17" t="str">
        <x:v>Topic</x:v>
      </x:c>
      <x:c r="F4" s="17" t="str">
        <x:v>Condition applicability</x:v>
      </x:c>
      <x:c r="G4" s="17" t="str">
        <x:v>Disease context</x:v>
      </x:c>
      <x:c r="H4" s="17" t="str">
        <x:v>Original claim</x:v>
      </x:c>
      <x:c r="I4" s="17" t="str">
        <x:v>QA proposed claim</x:v>
      </x:c>
      <x:c r="J4" s="17" t="str">
        <x:v>Final remediated claim</x:v>
      </x:c>
      <x:c r="K4" s="17" t="str">
        <x:v>Preserved supporting excerpt</x:v>
      </x:c>
      <x:c r="L4" s="17" t="str">
        <x:v>Exact authoritative passage</x:v>
      </x:c>
      <x:c r="M4" s="17" t="str">
        <x:v>Precise locator</x:v>
      </x:c>
      <x:c r="N4" s="17" t="str">
        <x:v>Authoritative source URL</x:v>
      </x:c>
      <x:c r="O4" s="17" t="str">
        <x:v>Evidence status</x:v>
      </x:c>
      <x:c r="P4" s="17" t="str">
        <x:v>Final-QA eligibility</x:v>
      </x:c>
      <x:c r="Q4" s="17" t="str">
        <x:v>Future approved-export eligibility</x:v>
      </x:c>
      <x:c r="R4" s="17" t="str">
        <x:v>Verification status</x:v>
      </x:c>
      <x:c r="S4" s="17" t="str">
        <x:v>Final remediation note</x:v>
      </x:c>
      <x:c r="T4" s="17" t="str">
        <x:v>Limitations</x:v>
      </x:c>
      <x:c r="U4" s="17" t="str">
        <x:v>Review status</x:v>
      </x:c>
      <x:c r="V4" s="17" t="str">
        <x:v>User decision</x:v>
      </x:c>
      <x:c r="W4" s="17" t="str">
        <x:v>User-edited claim</x:v>
      </x:c>
      <x:c r="X4" s="18" t="str">
        <x:v>Reviewer notes</x:v>
      </x:c>
    </x:row>
    <x:row r="5" ht="96" customHeight="1">
      <x:c r="A5" s="26" t="str">
        <x:v>CLM-005</x:v>
      </x:c>
      <x:c r="B5" s="26" t="str">
        <x:v>SRC-002</x:v>
      </x:c>
      <x:c r="C5" s="26" t="str"/>
      <x:c r="D5" s="26" t="str">
        <x:v>AGA Clinical Practice Update on Diet and Nutritional Therapies in Patients With Inflammatory Bowel Disease: Expert Review.</x:v>
      </x:c>
      <x:c r="E5" s="26" t="str">
        <x:v>nutrition_status</x:v>
      </x:c>
      <x:c r="F5" s="26" t="str">
        <x:v>ibd_general</x:v>
      </x:c>
      <x:c r="G5" s="26" t="str">
        <x:v>general_or_unspecified</x:v>
      </x:c>
      <x:c r="H5" s="26" t="str">
        <x:v>Dietary restrictions, along with the clinical complications of IBD, can result in malnutrition, an underrecognized condition among this patient population.</x:v>
      </x:c>
      <x:c r="I5" s="26" t="str">
        <x:v>The cited source reports that dietary restrictions, along with the clinical complications of IBD, may contribute to malnutrition, an underrecognized condition among this patient population.</x:v>
      </x:c>
      <x:c r="J5" s="26" t="str">
        <x:v>The cited source reports that dietary restrictions, along with the clinical complications of IBD, may contribute to malnutrition, an underrecognized condition among this patient population.</x:v>
      </x:c>
      <x:c r="K5" s="26" t="str">
        <x:v>Dietary restrictions, along with the clinical complications of IBD, can result in malnutrition, an underrecognized condition among this patient population.</x:v>
      </x:c>
      <x:c r="L5" s="26" t="str"/>
      <x:c r="M5" s="26" t="str">
        <x:v>PubMed abstract — sentence 4</x:v>
      </x:c>
      <x:c r="N5" s="26" t="str">
        <x:v>https://pubmed.ncbi.nlm.nih.gov/38276922/</x:v>
      </x:c>
      <x:c r="O5" s="26" t="str">
        <x:v>ready_for_human_review</x:v>
      </x:c>
      <x:c r="P5" s="26" t="str">
        <x:v>ready_for_final_independent_qa</x:v>
      </x:c>
      <x:c r="Q5" s="26" t="str">
        <x:v>pending_explicit_human_approval</x:v>
      </x:c>
      <x:c r="R5" s="26" t="str">
        <x:v>verified_against_public_abstract</x:v>
      </x:c>
      <x:c r="S5" s="26" t="str"/>
      <x:c r="T5" s="26" t="str">
        <x:v>Automated metadata and passage extraction; full methods and tables require human review. Abstract-only record limits appraisal.</x:v>
      </x:c>
      <x:c r="U5" s="26" t="str">
        <x:v>pending_human_review</x:v>
      </x:c>
      <x:c r="V5" s="29" t="str"/>
      <x:c r="W5" s="29" t="str"/>
      <x:c r="X5" s="29" t="str"/>
    </x:row>
    <x:row r="6" ht="96" customHeight="1">
      <x:c r="A6" s="27" t="str">
        <x:v>CLM-006</x:v>
      </x:c>
      <x:c r="B6" s="27" t="str">
        <x:v>SRC-002</x:v>
      </x:c>
      <x:c r="C6" s="27" t="str"/>
      <x:c r="D6" s="27" t="str">
        <x:v>AGA Clinical Practice Update on Diet and Nutritional Therapies in Patients With Inflammatory Bowel Disease: Expert Review.</x:v>
      </x:c>
      <x:c r="E6" s="27" t="str">
        <x:v>enteral_nutrition</x:v>
      </x:c>
      <x:c r="F6" s="27" t="str">
        <x:v>crohns_disease</x:v>
      </x:c>
      <x:c r="G6" s="27" t="str">
        <x:v>active_disease; remission</x:v>
      </x:c>
      <x:c r="H6" s="27" t="str">
        <x:v>BEST PRACTICE ADVICE 3: Exclusive enteral nutrition using liquid nutrition formulations is an effective therapy for induction of clinical remission and endoscopic response in Crohn's disease, with stronger evidence in children than adults.</x:v>
      </x:c>
      <x:c r="I6" s="27"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J6" s="27" t="str">
        <x:v>The cited source reports that exclusive enteral nutrition using liquid nutrition formulations is an effective therapy for induction of clinical remission and endoscopic response in Crohn's disease, with stronger evidence in children than adults. This is source-attributed information, not a treatment recommendation for an individual.</x:v>
      </x:c>
      <x:c r="K6" s="27" t="str">
        <x:v>BEST PRACTICE ADVICE 3: Exclusive enteral nutrition using liquid nutrition formulations is an effective therapy for induction of clinical remission and endoscopic response in Crohn's disease, with stronger evidence in children than adults.</x:v>
      </x:c>
      <x:c r="L6" s="27" t="str"/>
      <x:c r="M6" s="27" t="str">
        <x:v>PubMed abstract — sentence 19</x:v>
      </x:c>
      <x:c r="N6" s="27" t="str">
        <x:v>https://pubmed.ncbi.nlm.nih.gov/38276922/</x:v>
      </x:c>
      <x:c r="O6" s="27" t="str">
        <x:v>ready_for_human_review</x:v>
      </x:c>
      <x:c r="P6" s="27" t="str">
        <x:v>ready_for_final_independent_qa</x:v>
      </x:c>
      <x:c r="Q6" s="27" t="str">
        <x:v>pending_explicit_human_approval</x:v>
      </x:c>
      <x:c r="R6" s="27" t="str">
        <x:v>verified_against_public_abstract</x:v>
      </x:c>
      <x:c r="S6" s="27" t="str"/>
      <x:c r="T6" s="27" t="str">
        <x:v>Automated metadata and passage extraction; full methods and tables require human review. Abstract-only record limits appraisal.</x:v>
      </x:c>
      <x:c r="U6" s="27" t="str">
        <x:v>pending_human_review</x:v>
      </x:c>
      <x:c r="V6" s="30" t="str"/>
      <x:c r="W6" s="30" t="str"/>
      <x:c r="X6" s="30" t="str"/>
    </x:row>
    <x:row r="7" ht="96" customHeight="1">
      <x:c r="A7" s="27" t="str">
        <x:v>CLM-008</x:v>
      </x:c>
      <x:c r="B7" s="27" t="str">
        <x:v>SRC-002</x:v>
      </x:c>
      <x:c r="C7" s="27" t="str"/>
      <x:c r="D7" s="27" t="str">
        <x:v>AGA Clinical Practice Update on Diet and Nutritional Therapies in Patients With Inflammatory Bowel Disease: Expert Review.</x:v>
      </x:c>
      <x:c r="E7" s="27" t="str">
        <x:v>dietary_patterns</x:v>
      </x:c>
      <x:c r="F7" s="27" t="str">
        <x:v>ibd_general</x:v>
      </x:c>
      <x:c r="G7" s="27" t="str">
        <x:v>general_or_unspecified</x:v>
      </x:c>
      <x:c r="H7" s="27" t="str">
        <x:v>A healthy, balanced, Mediterranean diet rich in a variety of fruits and vegetables and decreased intake of ultraprocessed foods have been associated with a lower risk of developing IBD.</x:v>
      </x:c>
      <x:c r="I7" s="27"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J7" s="27" t="str">
        <x:v>The cited source reports that a healthy, balanced, Mediterranean diet rich in a variety of fruits and vegetables and decreased intake of ultraprocessed foods have been associated with a lower risk of developing IBD. This is population-level association evidence and does not establish causation or predict an individual's disease course.</x:v>
      </x:c>
      <x:c r="K7" s="27" t="str">
        <x:v>A healthy, balanced, Mediterranean diet rich in a variety of fruits and vegetables and decreased intake of ultraprocessed foods have been associated with a lower risk of developing IBD.</x:v>
      </x:c>
      <x:c r="L7" s="27" t="str"/>
      <x:c r="M7" s="27" t="str">
        <x:v>PubMed abstract — sentence 35</x:v>
      </x:c>
      <x:c r="N7" s="27" t="str">
        <x:v>https://pubmed.ncbi.nlm.nih.gov/38276922/</x:v>
      </x:c>
      <x:c r="O7" s="27" t="str">
        <x:v>ready_for_human_review</x:v>
      </x:c>
      <x:c r="P7" s="27" t="str">
        <x:v>ready_for_final_independent_qa</x:v>
      </x:c>
      <x:c r="Q7" s="27" t="str">
        <x:v>pending_explicit_human_approval</x:v>
      </x:c>
      <x:c r="R7" s="27" t="str">
        <x:v>verified_against_public_abstract</x:v>
      </x:c>
      <x:c r="S7" s="27" t="str"/>
      <x:c r="T7" s="27" t="str">
        <x:v>Automated metadata and passage extraction; full methods and tables require human review. Abstract-only record limits appraisal.</x:v>
      </x:c>
      <x:c r="U7" s="27" t="str">
        <x:v>pending_human_review</x:v>
      </x:c>
      <x:c r="V7" s="30" t="str"/>
      <x:c r="W7" s="30" t="str"/>
      <x:c r="X7" s="30" t="str"/>
    </x:row>
    <x:row r="8" ht="96" customHeight="1">
      <x:c r="A8" s="27" t="str">
        <x:v>CLM-013</x:v>
      </x:c>
      <x:c r="B8" s="27" t="str">
        <x:v>SRC-004</x:v>
      </x:c>
      <x:c r="C8" s="27" t="str"/>
      <x:c r="D8" s="27" t="str">
        <x:v>Diet, Food, and Nutritional Exposures and Inflammatory Bowel Disease or Progression of Disease: an Umbrella Review.</x:v>
      </x:c>
      <x:c r="E8" s="27" t="str">
        <x:v>ultra_processed</x:v>
      </x:c>
      <x:c r="F8" s="27" t="str">
        <x:v>ibd_general</x:v>
      </x:c>
      <x:c r="G8" s="27" t="str">
        <x:v>general_or_unspecified</x:v>
      </x:c>
      <x:c r="H8" s="27" t="str">
        <x:v>Dietary factors associated with an increased incidence and/or progression of IBD include a high intake of red and processed meat, other processed foods, and refined sugars, together with a low intake of vegetables, fruits, and fiber.</x:v>
      </x:c>
      <x:c r="I8" s="27"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J8" s="27" t="str">
        <x:v>The cited source reports that dietary factors associated with an increased incidence and/or progression of IBD include a high intake of red and processed meat, other processed foods, and refined sugars, together with a low intake of vegetables, fruits, and fiber. This is population-level association evidence and does not establish causation or predict an individual's disease course.</x:v>
      </x:c>
      <x:c r="K8" s="27" t="str">
        <x:v>Dietary factors associated with an increased incidence and/or progression of IBD include a high intake of red and processed meat, other processed foods, and refined sugars, together with a low intake of vegetables, fruits, and fiber.</x:v>
      </x:c>
      <x:c r="L8" s="27" t="str"/>
      <x:c r="M8" s="27" t="str">
        <x:v>PubMed abstract — sentence 4</x:v>
      </x:c>
      <x:c r="N8" s="27" t="str">
        <x:v>https://pubmed.ncbi.nlm.nih.gov/38599319/</x:v>
      </x:c>
      <x:c r="O8" s="27" t="str">
        <x:v>ready_for_human_review</x:v>
      </x:c>
      <x:c r="P8" s="27" t="str">
        <x:v>ready_for_final_independent_qa</x:v>
      </x:c>
      <x:c r="Q8" s="27" t="str">
        <x:v>pending_explicit_human_approval</x:v>
      </x:c>
      <x:c r="R8" s="27" t="str">
        <x:v>verified_against_public_abstract</x:v>
      </x:c>
      <x:c r="S8" s="27" t="str"/>
      <x:c r="T8" s="27" t="str">
        <x:v>Automated metadata and passage extraction; full methods and tables require human review. Public full text available for deeper review.</x:v>
      </x:c>
      <x:c r="U8" s="27" t="str">
        <x:v>pending_human_review</x:v>
      </x:c>
      <x:c r="V8" s="30" t="str"/>
      <x:c r="W8" s="30" t="str"/>
      <x:c r="X8" s="30" t="str"/>
    </x:row>
    <x:row r="9" ht="96" customHeight="1">
      <x:c r="A9" s="27" t="str">
        <x:v>CLM-014</x:v>
      </x:c>
      <x:c r="B9" s="27" t="str">
        <x:v>SRC-004</x:v>
      </x:c>
      <x:c r="C9" s="27" t="str"/>
      <x:c r="D9" s="27" t="str">
        <x:v>Diet, Food, and Nutritional Exposures and Inflammatory Bowel Disease or Progression of Disease: an Umbrella Review.</x:v>
      </x:c>
      <x:c r="E9" s="27" t="str">
        <x:v>fibre</x:v>
      </x:c>
      <x:c r="F9" s="27" t="str">
        <x:v>ulcerative_colitis; crohns_disease; ibd_general</x:v>
      </x:c>
      <x:c r="G9" s="27" t="str">
        <x:v>general_or_unspecified</x:v>
      </x:c>
      <x:c r="H9" s="27" t="str">
        <x:v>Some differences seem to exist between UC and CD and their risk factors, with increased intake of dietary fiber being inversely associated with CD incidence but not clearly associated with UC.</x:v>
      </x:c>
      <x:c r="I9" s="27"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J9" s="27" t="str">
        <x:v>The cited source reports that some differences seem to exist between UC and CD and their risk factors, with increased intake of dietary fiber being inversely associated with CD incidence but not clearly associated with UC. This is population-level association evidence and does not establish causation or predict an individual's disease course.</x:v>
      </x:c>
      <x:c r="K9" s="27" t="str">
        <x:v>Some differences seem to exist between UC and CD and their risk factors, with increased intake of dietary fiber being inversely associated with CD incidence but not clearly associated with UC.</x:v>
      </x:c>
      <x:c r="L9" s="27" t="str"/>
      <x:c r="M9" s="27" t="str">
        <x:v>PubMed abstract — sentence 6</x:v>
      </x:c>
      <x:c r="N9" s="27" t="str">
        <x:v>https://pubmed.ncbi.nlm.nih.gov/38599319/</x:v>
      </x:c>
      <x:c r="O9" s="27" t="str">
        <x:v>ready_for_human_review</x:v>
      </x:c>
      <x:c r="P9" s="27" t="str">
        <x:v>ready_for_final_independent_qa</x:v>
      </x:c>
      <x:c r="Q9" s="27" t="str">
        <x:v>pending_explicit_human_approval</x:v>
      </x:c>
      <x:c r="R9" s="27" t="str">
        <x:v>verified_against_public_abstract</x:v>
      </x:c>
      <x:c r="S9" s="27" t="str"/>
      <x:c r="T9" s="27" t="str">
        <x:v>Automated metadata and passage extraction; full methods and tables require human review. Public full text available for deeper review.</x:v>
      </x:c>
      <x:c r="U9" s="27" t="str">
        <x:v>pending_human_review</x:v>
      </x:c>
      <x:c r="V9" s="30" t="str"/>
      <x:c r="W9" s="30" t="str"/>
      <x:c r="X9" s="30" t="str"/>
    </x:row>
    <x:row r="10" ht="96" customHeight="1">
      <x:c r="A10" s="27" t="str">
        <x:v>CLM-015</x:v>
      </x:c>
      <x:c r="B10" s="27" t="str">
        <x:v>SRC-004</x:v>
      </x:c>
      <x:c r="C10" s="27" t="str"/>
      <x:c r="D10" s="27" t="str">
        <x:v>Diet, Food, and Nutritional Exposures and Inflammatory Bowel Disease or Progression of Disease: an Umbrella Review.</x:v>
      </x:c>
      <x:c r="E10" s="27" t="str">
        <x:v>dietary_patterns</x:v>
      </x:c>
      <x:c r="F10" s="27" t="str">
        <x:v>ibd_general</x:v>
      </x:c>
      <x:c r="G10" s="27" t="str">
        <x:v>general_or_unspecified</x:v>
      </x:c>
      <x:c r="H10" s="27" t="str">
        <x:v>Mediterranean diets, vegetarian diets, and a diet low in grains, sugars, and lactose (specific carbohydrate diet) are also associated with lower incidence and/or progression of IBD.</x:v>
      </x:c>
      <x:c r="I10" s="27"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J10" s="27" t="str">
        <x:v>The cited source reports that mediterranean diets, vegetarian diets, and a diet low in grains, sugars, and lactose (specific carbohydrate diet) are also associated with lower incidence and/or progression of IBD. This is population-level association evidence and does not establish causation or predict an individual's disease course.</x:v>
      </x:c>
      <x:c r="K10" s="27" t="str">
        <x:v>Mediterranean diets, vegetarian diets, and a diet low in grains, sugars, and lactose (specific carbohydrate diet) are also associated with lower incidence and/or progression of IBD.</x:v>
      </x:c>
      <x:c r="L10" s="27" t="str"/>
      <x:c r="M10" s="27" t="str">
        <x:v>PubMed abstract — sentence 10</x:v>
      </x:c>
      <x:c r="N10" s="27" t="str">
        <x:v>https://pubmed.ncbi.nlm.nih.gov/38599319/</x:v>
      </x:c>
      <x:c r="O10" s="27" t="str">
        <x:v>ready_for_human_review</x:v>
      </x:c>
      <x:c r="P10" s="27" t="str">
        <x:v>ready_for_final_independent_qa</x:v>
      </x:c>
      <x:c r="Q10" s="27" t="str">
        <x:v>pending_explicit_human_approval</x:v>
      </x:c>
      <x:c r="R10" s="27" t="str">
        <x:v>verified_against_public_abstract</x:v>
      </x:c>
      <x:c r="S10" s="27" t="str"/>
      <x:c r="T10" s="27" t="str">
        <x:v>Automated metadata and passage extraction; full methods and tables require human review. Public full text available for deeper review.</x:v>
      </x:c>
      <x:c r="U10" s="27" t="str">
        <x:v>pending_human_review</x:v>
      </x:c>
      <x:c r="V10" s="30" t="str"/>
      <x:c r="W10" s="30" t="str"/>
      <x:c r="X10" s="30" t="str"/>
    </x:row>
    <x:row r="11" ht="96" customHeight="1">
      <x:c r="A11" s="27" t="str">
        <x:v>CLM-017</x:v>
      </x:c>
      <x:c r="B11" s="27" t="str">
        <x:v>SRC-005</x:v>
      </x:c>
      <x:c r="C11" s="27" t="str"/>
      <x:c r="D11" s="27" t="str">
        <x:v>Dietary Interventions for the Treatment of Inflammatory Bowel Diseases: An Updated Systematic Review and Meta-analysis.</x:v>
      </x:c>
      <x:c r="E11" s="27" t="str">
        <x:v>symptoms_vs_inflammation</x:v>
      </x:c>
      <x:c r="F11" s="27" t="str">
        <x:v>crohns_disease</x:v>
      </x:c>
      <x:c r="G11" s="27" t="str">
        <x:v>active_disease; remission</x:v>
      </x:c>
      <x:c r="H11" s="27" t="str">
        <x:v>For induction of remission in Crohn's disease (CD), low refined carbohydrate diet and symptoms-guided diet outperformed controls, but studies had serious imprecision and very low certainty of evidence.</x:v>
      </x:c>
      <x:c r="I11" s="27"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J11" s="27" t="str">
        <x:v>The cited source reports that for induction of remission in Crohn's disease (CD), low refined carbohydrate diet and symptoms-guided diet outperformed controls, but studies had serious imprecision and very low certainty of evidence. This is source-attributed information, not a treatment recommendation for an individual.</x:v>
      </x:c>
      <x:c r="K11" s="27" t="str">
        <x:v>For induction of remission in Crohn's disease (CD), low refined carbohydrate diet and symptoms-guided diet outperformed controls, but studies had serious imprecision and very low certainty of evidence.</x:v>
      </x:c>
      <x:c r="L11" s="27" t="str"/>
      <x:c r="M11" s="27" t="str">
        <x:v>PubMed abstract — sentence 6</x:v>
      </x:c>
      <x:c r="N11" s="27" t="str">
        <x:v>https://pubmed.ncbi.nlm.nih.gov/36470529/</x:v>
      </x:c>
      <x:c r="O11" s="27" t="str">
        <x:v>ready_for_human_review</x:v>
      </x:c>
      <x:c r="P11" s="27" t="str">
        <x:v>ready_for_final_independent_qa</x:v>
      </x:c>
      <x:c r="Q11" s="27" t="str">
        <x:v>pending_explicit_human_approval</x:v>
      </x:c>
      <x:c r="R11" s="27" t="str">
        <x:v>verified_against_public_abstract</x:v>
      </x:c>
      <x:c r="S11" s="27" t="str"/>
      <x:c r="T11" s="27" t="str">
        <x:v>Automated metadata and passage extraction; full methods and tables require human review. Abstract-only record limits appraisal.</x:v>
      </x:c>
      <x:c r="U11" s="27" t="str">
        <x:v>pending_human_review</x:v>
      </x:c>
      <x:c r="V11" s="30" t="str"/>
      <x:c r="W11" s="30" t="str"/>
      <x:c r="X11" s="30" t="str"/>
    </x:row>
    <x:row r="12" ht="96" customHeight="1">
      <x:c r="A12" s="27" t="str">
        <x:v>CLM-018</x:v>
      </x:c>
      <x:c r="B12" s="27" t="str">
        <x:v>SRC-005</x:v>
      </x:c>
      <x:c r="C12" s="27" t="str"/>
      <x:c r="D12" s="27" t="str">
        <x:v>Dietary Interventions for the Treatment of Inflammatory Bowel Diseases: An Updated Systematic Review and Meta-analysis.</x:v>
      </x:c>
      <x:c r="E12" s="27" t="str">
        <x:v>dietary_patterns</x:v>
      </x:c>
      <x:c r="F12" s="27" t="str">
        <x:v>ulcerative_colitis; crohns_disease; ibd_general</x:v>
      </x:c>
      <x:c r="G12" s="27" t="str">
        <x:v>general_or_unspecified</x:v>
      </x:c>
      <x:c r="H12" s="27" t="str">
        <x:v>The Mediterranean diet was similar to the Specific Carbohydrate Diet (low certainty of evidence), and partial enteral nutrition (PEN) was similar to exclusive enteral nutrition (very low certainty of evidence).</x:v>
      </x:c>
      <x:c r="I12" s="27" t="str">
        <x:v>The cited source reports that the Mediterranean diet was similar to the Specific Carbohydrate Diet (low certainty of evidence), and partial enteral nutrition (PEN) was similar to exclusive enteral nutrition (very low certainty of evidence).</x:v>
      </x:c>
      <x:c r="J12" s="27" t="str">
        <x:v>The cited source reports that the Mediterranean diet was similar to the Specific Carbohydrate Diet (low certainty of evidence), and partial enteral nutrition (PEN) was similar to exclusive enteral nutrition (very low certainty of evidence).</x:v>
      </x:c>
      <x:c r="K12" s="27" t="str">
        <x:v>The Mediterranean diet was similar to the Specific Carbohydrate Diet (low certainty of evidence), and partial enteral nutrition (PEN) was similar to exclusive enteral nutrition (very low certainty of evidence).</x:v>
      </x:c>
      <x:c r="L12" s="27" t="str"/>
      <x:c r="M12" s="27" t="str">
        <x:v>PubMed abstract — sentence 7</x:v>
      </x:c>
      <x:c r="N12" s="27" t="str">
        <x:v>https://pubmed.ncbi.nlm.nih.gov/36470529/</x:v>
      </x:c>
      <x:c r="O12" s="27" t="str">
        <x:v>ready_for_human_review</x:v>
      </x:c>
      <x:c r="P12" s="27" t="str">
        <x:v>ready_for_final_independent_qa</x:v>
      </x:c>
      <x:c r="Q12" s="27" t="str">
        <x:v>pending_explicit_human_approval</x:v>
      </x:c>
      <x:c r="R12" s="27" t="str">
        <x:v>verified_against_public_abstract</x:v>
      </x:c>
      <x:c r="S12" s="27" t="str"/>
      <x:c r="T12" s="27" t="str">
        <x:v>Automated metadata and passage extraction; full methods and tables require human review. Abstract-only record limits appraisal.</x:v>
      </x:c>
      <x:c r="U12" s="27" t="str">
        <x:v>pending_human_review</x:v>
      </x:c>
      <x:c r="V12" s="30" t="str"/>
      <x:c r="W12" s="30" t="str"/>
      <x:c r="X12" s="30" t="str"/>
    </x:row>
    <x:row r="13" ht="96" customHeight="1">
      <x:c r="A13" s="27" t="str">
        <x:v>CLM-019</x:v>
      </x:c>
      <x:c r="B13" s="27" t="str">
        <x:v>SRC-005</x:v>
      </x:c>
      <x:c r="C13" s="27" t="str"/>
      <x:c r="D13" s="27" t="str">
        <x:v>Dietary Interventions for the Treatment of Inflammatory Bowel Diseases: An Updated Systematic Review and Meta-analysis.</x:v>
      </x:c>
      <x:c r="E13" s="27" t="str">
        <x:v>red_processed_meat</x:v>
      </x:c>
      <x:c r="F13" s="27" t="str">
        <x:v>ulcerative_colitis; crohns_disease; ibd_general</x:v>
      </x:c>
      <x:c r="G13" s="27" t="str">
        <x:v>general_or_unspecified</x:v>
      </x:c>
      <x:c r="H13" s="27" t="str">
        <x:v>PEN reduced risk of relapse (very low certainty of evidence), whereas reduction of red meat or refined carbohydrates did not (low certainty of evidence).</x:v>
      </x:c>
      <x:c r="I13" s="27" t="str">
        <x:v>The cited source reports that pEN reduced risk of relapse (very low certainty of evidence), whereas reduction of red meat or refined carbohydrates did not (low certainty of evidence). This is population-level association evidence and does not establish causation or predict an individual's disease course.</x:v>
      </x:c>
      <x:c r="J13" s="27" t="str">
        <x:v>The cited source reports that pEN reduced risk of relapse (very low certainty of evidence), whereas reduction of red meat or refined carbohydrates did not (low certainty of evidence). This is population-level association evidence and does not establish causation or predict an individual's disease course.</x:v>
      </x:c>
      <x:c r="K13" s="27" t="str">
        <x:v>PEN reduced risk of relapse (very low certainty of evidence), whereas reduction of red meat or refined carbohydrates did not (low certainty of evidence).</x:v>
      </x:c>
      <x:c r="L13" s="27" t="str"/>
      <x:c r="M13" s="27" t="str">
        <x:v>PubMed abstract — sentence 8</x:v>
      </x:c>
      <x:c r="N13" s="27" t="str">
        <x:v>https://pubmed.ncbi.nlm.nih.gov/36470529/</x:v>
      </x:c>
      <x:c r="O13" s="27" t="str">
        <x:v>ready_for_human_review</x:v>
      </x:c>
      <x:c r="P13" s="27" t="str">
        <x:v>ready_for_final_independent_qa</x:v>
      </x:c>
      <x:c r="Q13" s="27" t="str">
        <x:v>pending_explicit_human_approval</x:v>
      </x:c>
      <x:c r="R13" s="27" t="str">
        <x:v>verified_against_public_abstract</x:v>
      </x:c>
      <x:c r="S13" s="27" t="str"/>
      <x:c r="T13" s="27" t="str">
        <x:v>Automated metadata and passage extraction; full methods and tables require human review. Abstract-only record limits appraisal.</x:v>
      </x:c>
      <x:c r="U13" s="27" t="str">
        <x:v>pending_human_review</x:v>
      </x:c>
      <x:c r="V13" s="30" t="str"/>
      <x:c r="W13" s="30" t="str"/>
      <x:c r="X13" s="30" t="str"/>
    </x:row>
    <x:row r="14" ht="96" customHeight="1">
      <x:c r="A14" s="27" t="str">
        <x:v>CLM-021</x:v>
      </x:c>
      <x:c r="B14" s="27" t="str">
        <x:v>SRC-006</x:v>
      </x:c>
      <x:c r="C14" s="27" t="str"/>
      <x:c r="D14" s="27" t="str">
        <x:v>Dietary fat is associated with increased inflammatory bowel disease onset risk: a systematic review and dose-response meta-analysis.</x:v>
      </x:c>
      <x:c r="E14" s="27" t="str">
        <x:v>core_condition_knowledge</x:v>
      </x:c>
      <x:c r="F14" s="27" t="str">
        <x:v>ibd_general</x:v>
      </x:c>
      <x:c r="G14" s="27" t="str">
        <x:v>general_or_unspecified</x:v>
      </x:c>
      <x:c r="H14" s="27" t="str">
        <x:v>RESULTS: High fat intake (RR = 1.24, 95% CI = 1.03-1.49) was modestly associated with increased IBD onset risk.</x:v>
      </x:c>
      <x:c r="I14" s="27" t="str">
        <x:v>The cited source reports that high fat intake (RR = 1.24, 95% CI = 1.03-1.49) was modestly associated with increased IBD onset risk. This is population-level association evidence and does not establish causation or predict an individual's disease course.</x:v>
      </x:c>
      <x:c r="J14" s="27" t="str">
        <x:v>The cited source reports that high fat intake (RR = 1.24, 95% CI = 1.03-1.49) was modestly associated with increased IBD onset risk. This is population-level association evidence and does not establish causation or predict an individual's disease course.</x:v>
      </x:c>
      <x:c r="K14" s="27" t="str">
        <x:v>RESULTS: High fat intake (RR = 1.24, 95% CI = 1.03-1.49) was modestly associated with increased IBD onset risk.</x:v>
      </x:c>
      <x:c r="L14" s="27" t="str"/>
      <x:c r="M14" s="27" t="str">
        <x:v>PubMed abstract — sentence 5</x:v>
      </x:c>
      <x:c r="N14" s="27" t="str">
        <x:v>https://pubmed.ncbi.nlm.nih.gov/40844310/</x:v>
      </x:c>
      <x:c r="O14" s="27" t="str">
        <x:v>ready_for_human_review</x:v>
      </x:c>
      <x:c r="P14" s="27" t="str">
        <x:v>ready_for_final_independent_qa</x:v>
      </x:c>
      <x:c r="Q14" s="27" t="str">
        <x:v>pending_explicit_human_approval</x:v>
      </x:c>
      <x:c r="R14" s="27" t="str">
        <x:v>verified_against_public_abstract</x:v>
      </x:c>
      <x:c r="S14" s="27" t="str"/>
      <x:c r="T14" s="27" t="str">
        <x:v>Automated metadata and passage extraction; full methods and tables require human review. Public full text available for deeper review.</x:v>
      </x:c>
      <x:c r="U14" s="27" t="str">
        <x:v>pending_human_review</x:v>
      </x:c>
      <x:c r="V14" s="30" t="str"/>
      <x:c r="W14" s="30" t="str"/>
      <x:c r="X14" s="30" t="str"/>
    </x:row>
    <x:row r="15" ht="96" customHeight="1">
      <x:c r="A15" s="27" t="str">
        <x:v>CLM-022</x:v>
      </x:c>
      <x:c r="B15" s="27" t="str">
        <x:v>SRC-006</x:v>
      </x:c>
      <x:c r="C15" s="27" t="str"/>
      <x:c r="D15" s="27" t="str">
        <x:v>Dietary fat is associated with increased inflammatory bowel disease onset risk: a systematic review and dose-response meta-analysis.</x:v>
      </x:c>
      <x:c r="E15" s="27" t="str">
        <x:v>core_condition_knowledge</x:v>
      </x:c>
      <x:c r="F15" s="27" t="str">
        <x:v>ibd_general</x:v>
      </x:c>
      <x:c r="G15" s="27" t="str">
        <x:v>general_or_unspecified</x:v>
      </x:c>
      <x:c r="H15"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I15" s="27"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J15" s="27" t="str">
        <x:v>The cited source reports that 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 This is population-level association evidence and does not establish causation or predict an individual's disease course.</x:v>
      </x:c>
      <x:c r="K15" s="27" t="str">
        <x:v>Subgroup analyses and meta-regression indicated that Asian (RR = 2.15, 95% CI = 1.46-3.16, Psubgroup &lt; 0.01), high-male-proportion (RR = 1.91, 95% CI = 1.32-2.78, Psubgroup &lt; 0.01) and young (RR = 2.67, 95% CI = 1.80-3.96, Psubgroup &lt; 0.01) populations were more susceptible to fat-associated IBD, and positive dose‒response associations were also confirmed in these populations.</x:v>
      </x:c>
      <x:c r="L15" s="27" t="str"/>
      <x:c r="M15" s="27" t="str">
        <x:v>PubMed abstract — sentence 6</x:v>
      </x:c>
      <x:c r="N15" s="27" t="str">
        <x:v>https://pubmed.ncbi.nlm.nih.gov/40844310/</x:v>
      </x:c>
      <x:c r="O15" s="27" t="str">
        <x:v>ready_for_human_review</x:v>
      </x:c>
      <x:c r="P15" s="27" t="str">
        <x:v>ready_for_final_independent_qa</x:v>
      </x:c>
      <x:c r="Q15" s="27" t="str">
        <x:v>pending_explicit_human_approval</x:v>
      </x:c>
      <x:c r="R15" s="27" t="str">
        <x:v>verified_against_public_abstract</x:v>
      </x:c>
      <x:c r="S15" s="27" t="str"/>
      <x:c r="T15" s="27" t="str">
        <x:v>Automated metadata and passage extraction; full methods and tables require human review. Public full text available for deeper review.</x:v>
      </x:c>
      <x:c r="U15" s="27" t="str">
        <x:v>pending_human_review</x:v>
      </x:c>
      <x:c r="V15" s="30" t="str"/>
      <x:c r="W15" s="30" t="str"/>
      <x:c r="X15" s="30" t="str"/>
    </x:row>
    <x:row r="16" ht="96" customHeight="1">
      <x:c r="A16" s="27" t="str">
        <x:v>CLM-023</x:v>
      </x:c>
      <x:c r="B16" s="27" t="str">
        <x:v>SRC-006</x:v>
      </x:c>
      <x:c r="C16" s="27" t="str"/>
      <x:c r="D16" s="27" t="str">
        <x:v>Dietary fat is associated with increased inflammatory bowel disease onset risk: a systematic review and dose-response meta-analysis.</x:v>
      </x:c>
      <x:c r="E16" s="27" t="str">
        <x:v>core_condition_knowledge</x:v>
      </x:c>
      <x:c r="F16" s="27" t="str">
        <x:v>ibd_general</x:v>
      </x:c>
      <x:c r="G16" s="27" t="str">
        <x:v>general_or_unspecified</x:v>
      </x:c>
      <x:c r="H16"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I16" s="27"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J16" s="27" t="str">
        <x:v>The cited source reports that 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 This is population-level association evidence and does not establish causation or predict an individual's disease course.</x:v>
      </x:c>
      <x:c r="K16" s="27" t="str">
        <x:v>Both the highest-versus-lowest and dose‒response analyses revealed that polyunsaturated fatty acids (PUFAs) (RR = 1.34, 95% CI = 1.10-1.63; Pnonlinearity &lt; 0.05; per 10 g/day RR = 1.39) and cholesterol (RR = 1.52, 95% CI = 1.09-2.12; Pnonlinearity = 0.03; per 0.1 g/day RR = 1.17) were associated with increased IBD onset risk, whereas long-chain n-3 PUFA (LCN-n-3, RR = 0.74, 95% CI = 0.58-0.94) intake and a high n3/n6-PUFA ratio (RR = 0.76, 95% CI = 0.59-0.98) might be associated with decreased IBD risk.</x:v>
      </x:c>
      <x:c r="L16" s="27" t="str"/>
      <x:c r="M16" s="27" t="str">
        <x:v>PubMed abstract — sentence 7</x:v>
      </x:c>
      <x:c r="N16" s="27" t="str">
        <x:v>https://pubmed.ncbi.nlm.nih.gov/40844310/</x:v>
      </x:c>
      <x:c r="O16" s="27" t="str">
        <x:v>ready_for_human_review</x:v>
      </x:c>
      <x:c r="P16" s="27" t="str">
        <x:v>ready_for_final_independent_qa</x:v>
      </x:c>
      <x:c r="Q16" s="27" t="str">
        <x:v>pending_explicit_human_approval</x:v>
      </x:c>
      <x:c r="R16" s="27" t="str">
        <x:v>verified_against_public_abstract</x:v>
      </x:c>
      <x:c r="S16" s="27" t="str"/>
      <x:c r="T16" s="27" t="str">
        <x:v>Automated metadata and passage extraction; full methods and tables require human review. Public full text available for deeper review.</x:v>
      </x:c>
      <x:c r="U16" s="27" t="str">
        <x:v>pending_human_review</x:v>
      </x:c>
      <x:c r="V16" s="30" t="str"/>
      <x:c r="W16" s="30" t="str"/>
      <x:c r="X16" s="30" t="str"/>
    </x:row>
    <x:row r="17" ht="96" customHeight="1">
      <x:c r="A17" s="27" t="str">
        <x:v>CLM-024</x:v>
      </x:c>
      <x:c r="B17" s="27" t="str">
        <x:v>SRC-006</x:v>
      </x:c>
      <x:c r="C17" s="27" t="str"/>
      <x:c r="D17" s="27" t="str">
        <x:v>Dietary fat is associated with increased inflammatory bowel disease onset risk: a systematic review and dose-response meta-analysis.</x:v>
      </x:c>
      <x:c r="E17" s="27" t="str">
        <x:v>core_condition_knowledge</x:v>
      </x:c>
      <x:c r="F17" s="27" t="str">
        <x:v>ibd_general</x:v>
      </x:c>
      <x:c r="G17" s="27" t="str">
        <x:v>general_or_unspecified</x:v>
      </x:c>
      <x:c r="H17" s="27" t="str">
        <x:v>CONCLUSIONS: Higher fat intake might be modestly associated with increased IBD onset risk, particularly for PUFA and cholesterol, whereas LCN-n-3 and a high n3/n6-PUFA ratio may offer protective effects against IBD onset.</x:v>
      </x:c>
      <x:c r="I17" s="27"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J17" s="27" t="str">
        <x:v>The cited source reports that higher fat intake might be modestly associated with increased IBD onset risk, particularly for PUFA and cholesterol, whereas LCN-n-3 and a high n3/n6-PUFA ratio was associated with lower IBD onset. This is population-level association evidence and does not establish causation or predict an individual's disease course.</x:v>
      </x:c>
      <x:c r="K17" s="27" t="str">
        <x:v>CONCLUSIONS: Higher fat intake might be modestly associated with increased IBD onset risk, particularly for PUFA and cholesterol, whereas LCN-n-3 and a high n3/n6-PUFA ratio may offer protective effects against IBD onset.</x:v>
      </x:c>
      <x:c r="L17" s="27" t="str"/>
      <x:c r="M17" s="27" t="str">
        <x:v>PubMed abstract — sentence 8</x:v>
      </x:c>
      <x:c r="N17" s="27" t="str">
        <x:v>https://pubmed.ncbi.nlm.nih.gov/40844310/</x:v>
      </x:c>
      <x:c r="O17" s="27" t="str">
        <x:v>ready_for_human_review</x:v>
      </x:c>
      <x:c r="P17" s="27" t="str">
        <x:v>ready_for_final_independent_qa</x:v>
      </x:c>
      <x:c r="Q17" s="27" t="str">
        <x:v>pending_explicit_human_approval</x:v>
      </x:c>
      <x:c r="R17" s="27" t="str">
        <x:v>verified_against_public_abstract</x:v>
      </x:c>
      <x:c r="S17" s="27" t="str"/>
      <x:c r="T17" s="27" t="str">
        <x:v>Automated metadata and passage extraction; full methods and tables require human review. Public full text available for deeper review.</x:v>
      </x:c>
      <x:c r="U17" s="27" t="str">
        <x:v>pending_human_review</x:v>
      </x:c>
      <x:c r="V17" s="30" t="str"/>
      <x:c r="W17" s="30" t="str"/>
      <x:c r="X17" s="30" t="str"/>
    </x:row>
    <x:row r="18" ht="96" customHeight="1">
      <x:c r="A18" s="27" t="str">
        <x:v>CLM-025</x:v>
      </x:c>
      <x:c r="B18" s="27" t="str">
        <x:v>SRC-007</x:v>
      </x:c>
      <x:c r="C18" s="27" t="str"/>
      <x:c r="D18" s="27" t="str">
        <x:v>Systematic review and meta-analysis of lactose digestion, its impact on intolerance and nutritional effects of dairy food restriction in inflammatory bowel diseases.</x:v>
      </x:c>
      <x:c r="E18" s="27" t="str">
        <x:v>dairy_lactose</x:v>
      </x:c>
      <x:c r="F18" s="27" t="str">
        <x:v>crohns_disease; ibd_general</x:v>
      </x:c>
      <x:c r="G18" s="27" t="str">
        <x:v>general_or_unspecified</x:v>
      </x:c>
      <x:c r="H18" s="27" t="str">
        <x:v>Of these 17 were included in meta-analysis which showed overall increased lactose maldigestion in both diseases.</x:v>
      </x:c>
      <x:c r="I18" s="27" t="str">
        <x:v>The cited source reports that of these 17 were included in meta-analysis which showed overall increased lactose maldigestion in both diseases.</x:v>
      </x:c>
      <x:c r="J18" s="27" t="str">
        <x:v>The cited source reports that of these 17 were included in meta-analysis which showed overall increased lactose maldigestion in both diseases.</x:v>
      </x:c>
      <x:c r="K18" s="27" t="str">
        <x:v>Of these 17 were included in meta-analysis which showed overall increased lactose maldigestion in both diseases.</x:v>
      </x:c>
      <x:c r="L18" s="27" t="str"/>
      <x:c r="M18" s="27" t="str">
        <x:v>PubMed abstract — sentence 6</x:v>
      </x:c>
      <x:c r="N18" s="27" t="str">
        <x:v>https://pubmed.ncbi.nlm.nih.gov/27411934/</x:v>
      </x:c>
      <x:c r="O18" s="27" t="str">
        <x:v>ready_for_human_review</x:v>
      </x:c>
      <x:c r="P18" s="27" t="str">
        <x:v>ready_for_final_independent_qa</x:v>
      </x:c>
      <x:c r="Q18" s="27" t="str">
        <x:v>pending_explicit_human_approval</x:v>
      </x:c>
      <x:c r="R18" s="27" t="str">
        <x:v>verified_against_public_abstract</x:v>
      </x:c>
      <x:c r="S18" s="27" t="str"/>
      <x:c r="T18" s="27" t="str">
        <x:v>Automated metadata and passage extraction; full methods and tables require human review. Public full text available for deeper review.</x:v>
      </x:c>
      <x:c r="U18" s="27" t="str">
        <x:v>pending_human_review</x:v>
      </x:c>
      <x:c r="V18" s="30" t="str"/>
      <x:c r="W18" s="30" t="str"/>
      <x:c r="X18" s="30" t="str"/>
    </x:row>
    <x:row r="19" ht="96" customHeight="1">
      <x:c r="A19" s="27" t="str">
        <x:v>CLM-026</x:v>
      </x:c>
      <x:c r="B19" s="27" t="str">
        <x:v>SRC-007</x:v>
      </x:c>
      <x:c r="C19" s="27" t="str"/>
      <x:c r="D19" s="27" t="str">
        <x:v>Systematic review and meta-analysis of lactose digestion, its impact on intolerance and nutritional effects of dairy food restriction in inflammatory bowel diseases.</x:v>
      </x:c>
      <x:c r="E19" s="27" t="str">
        <x:v>dairy_lactose</x:v>
      </x:c>
      <x:c r="F19" s="27" t="str">
        <x:v>ibd_general</x:v>
      </x:c>
      <x:c r="G19" s="27" t="str">
        <x:v>general_or_unspecified</x:v>
      </x:c>
      <x:c r="H19" s="27" t="str">
        <x:v>CONCLUSIONS: Lactose maldigestion in inflammatory bowel disease is dependent on ethnic makeup of the population and usually not disease.</x:v>
      </x:c>
      <x:c r="I19" s="27" t="str">
        <x:v>The cited source reports that lactose maldigestion in inflammatory bowel disease is dependent on ethnic makeup of the population and usually not disease. The specific measured marker or inflammatory outcome should remain explicit.</x:v>
      </x:c>
      <x:c r="J19" s="27" t="str">
        <x:v>The cited source reports that lactose maldigestion in inflammatory bowel disease is dependent on ethnic makeup of the population and usually not disease. The specific measured marker or inflammatory outcome should remain explicit.</x:v>
      </x:c>
      <x:c r="K19" s="27" t="str">
        <x:v>CONCLUSIONS: Lactose maldigestion in inflammatory bowel disease is dependent on ethnic makeup of the population and usually not disease.</x:v>
      </x:c>
      <x:c r="L19" s="27" t="str"/>
      <x:c r="M19" s="27" t="str">
        <x:v>PubMed abstract — sentence 12</x:v>
      </x:c>
      <x:c r="N19" s="27" t="str">
        <x:v>https://pubmed.ncbi.nlm.nih.gov/27411934/</x:v>
      </x:c>
      <x:c r="O19" s="27" t="str">
        <x:v>ready_for_human_review</x:v>
      </x:c>
      <x:c r="P19" s="27" t="str">
        <x:v>ready_for_final_independent_qa</x:v>
      </x:c>
      <x:c r="Q19" s="27" t="str">
        <x:v>pending_explicit_human_approval</x:v>
      </x:c>
      <x:c r="R19" s="27" t="str">
        <x:v>verified_against_public_abstract</x:v>
      </x:c>
      <x:c r="S19" s="27" t="str"/>
      <x:c r="T19" s="27" t="str">
        <x:v>Automated metadata and passage extraction; full methods and tables require human review. Public full text available for deeper review.</x:v>
      </x:c>
      <x:c r="U19" s="27" t="str">
        <x:v>pending_human_review</x:v>
      </x:c>
      <x:c r="V19" s="30" t="str"/>
      <x:c r="W19" s="30" t="str"/>
      <x:c r="X19" s="30" t="str"/>
    </x:row>
    <x:row r="20" ht="96" customHeight="1">
      <x:c r="A20" s="27" t="str">
        <x:v>CLM-028</x:v>
      </x:c>
      <x:c r="B20" s="27" t="str">
        <x:v>SRC-007</x:v>
      </x:c>
      <x:c r="C20" s="27" t="str"/>
      <x:c r="D20" s="27" t="str">
        <x:v>Systematic review and meta-analysis of lactose digestion, its impact on intolerance and nutritional effects of dairy food restriction in inflammatory bowel diseases.</x:v>
      </x:c>
      <x:c r="E20" s="27" t="str">
        <x:v>core_condition_knowledge</x:v>
      </x:c>
      <x:c r="F20" s="27" t="str">
        <x:v>crohns_disease</x:v>
      </x:c>
      <x:c r="G20" s="27" t="str">
        <x:v>general_or_unspecified</x:v>
      </x:c>
      <x:c r="H20" s="27" t="str">
        <x:v>However increased risk on sub analysis was only found in Crohn's in patients with small bowel involvement.</x:v>
      </x:c>
      <x:c r="I20" s="27" t="str">
        <x:v>The cited source reports that however increased risk on sub analysis was only found in Crohn's in patients with small bowel involvement. This is population-level association evidence and does not establish causation or predict an individual's disease course.</x:v>
      </x:c>
      <x:c r="J20" s="27" t="str">
        <x:v>The cited source reports that however increased risk on sub analysis was only found in Crohn's in patients with small bowel involvement. This is population-level association evidence and does not establish causation or predict an individual's disease course.</x:v>
      </x:c>
      <x:c r="K20" s="27" t="str">
        <x:v>However increased risk on sub analysis was only found in Crohn's in patients with small bowel involvement.</x:v>
      </x:c>
      <x:c r="L20" s="27" t="str"/>
      <x:c r="M20" s="27" t="str">
        <x:v>PubMed abstract — sentence 7</x:v>
      </x:c>
      <x:c r="N20" s="27" t="str">
        <x:v>https://pubmed.ncbi.nlm.nih.gov/27411934/</x:v>
      </x:c>
      <x:c r="O20" s="27" t="str">
        <x:v>ready_for_human_review</x:v>
      </x:c>
      <x:c r="P20" s="27" t="str">
        <x:v>ready_for_final_independent_qa</x:v>
      </x:c>
      <x:c r="Q20" s="27" t="str">
        <x:v>pending_explicit_human_approval</x:v>
      </x:c>
      <x:c r="R20" s="27" t="str">
        <x:v>verified_against_public_abstract</x:v>
      </x:c>
      <x:c r="S20" s="27" t="str"/>
      <x:c r="T20" s="27" t="str">
        <x:v>Automated metadata and passage extraction; full methods and tables require human review. Public full text available for deeper review.</x:v>
      </x:c>
      <x:c r="U20" s="27" t="str">
        <x:v>pending_human_review</x:v>
      </x:c>
      <x:c r="V20" s="30" t="str"/>
      <x:c r="W20" s="30" t="str"/>
      <x:c r="X20" s="30" t="str"/>
    </x:row>
    <x:row r="21" ht="96" customHeight="1">
      <x:c r="A21" s="27" t="str">
        <x:v>CLM-029</x:v>
      </x:c>
      <x:c r="B21" s="27" t="str">
        <x:v>SRC-008</x:v>
      </x:c>
      <x:c r="C21" s="27" t="str"/>
      <x:c r="D21" s="27" t="str">
        <x:v>Nutrition, Nutritional Status, Micronutrients Deficiency, and Disease Course of Inflammatory Bowel Disease.</x:v>
      </x:c>
      <x:c r="E21" s="27" t="str">
        <x:v>stress_quality_of_life</x:v>
      </x:c>
      <x:c r="F21" s="27" t="str">
        <x:v>ibd_general</x:v>
      </x:c>
      <x:c r="G21" s="27" t="str">
        <x:v>remission</x:v>
      </x:c>
      <x:c r="H21" s="27" t="str">
        <x:v>The evidence summarized in this review showed that many nutritional aspects could be potential targets to induce a better control of symptoms, a deeper remission, and overall improve the quality of life of Inflammatory Bowel Disease patients.</x:v>
      </x:c>
      <x:c r="I21" s="27"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J21" s="27" t="str">
        <x:v>The cited source reports that the evidence summarized in this review showed that many nutritional aspects could be potential targets to induce a better control of symptoms, a deeper remission, and overall improve the quality of life of Inflammatory Bowel Disease patients. This is source-attributed information, not a treatment recommendation for an individual.</x:v>
      </x:c>
      <x:c r="K21" s="27" t="str">
        <x:v>The evidence summarized in this review showed that many nutritional aspects could be potential targets to induce a better control of symptoms, a deeper remission, and overall improve the quality of life of Inflammatory Bowel Disease patients.</x:v>
      </x:c>
      <x:c r="L21" s="27" t="str"/>
      <x:c r="M21" s="27" t="str">
        <x:v>PubMed abstract — sentence 10</x:v>
      </x:c>
      <x:c r="N21" s="27" t="str">
        <x:v>https://pubmed.ncbi.nlm.nih.gov/37686856/</x:v>
      </x:c>
      <x:c r="O21" s="27" t="str">
        <x:v>ready_for_human_review</x:v>
      </x:c>
      <x:c r="P21" s="27" t="str">
        <x:v>ready_for_final_independent_qa</x:v>
      </x:c>
      <x:c r="Q21" s="27" t="str">
        <x:v>pending_explicit_human_approval</x:v>
      </x:c>
      <x:c r="R21" s="27" t="str">
        <x:v>verified_against_public_abstract</x:v>
      </x:c>
      <x:c r="S21" s="27" t="str"/>
      <x:c r="T21" s="27" t="str">
        <x:v>Automated metadata and passage extraction; full methods and tables require human review. Public full text available for deeper review.</x:v>
      </x:c>
      <x:c r="U21" s="27" t="str">
        <x:v>pending_human_review</x:v>
      </x:c>
      <x:c r="V21" s="30" t="str"/>
      <x:c r="W21" s="30" t="str"/>
      <x:c r="X21" s="30" t="str"/>
    </x:row>
    <x:row r="22" ht="96" customHeight="1">
      <x:c r="A22" s="27" t="str">
        <x:v>CLM-030</x:v>
      </x:c>
      <x:c r="B22" s="27" t="str">
        <x:v>SRC-008</x:v>
      </x:c>
      <x:c r="C22" s="27" t="str"/>
      <x:c r="D22" s="27" t="str">
        <x:v>Nutrition, Nutritional Status, Micronutrients Deficiency, and Disease Course of Inflammatory Bowel Disease.</x:v>
      </x:c>
      <x:c r="E22" s="27" t="str">
        <x:v>nutrition_status</x:v>
      </x:c>
      <x:c r="F22" s="27" t="str">
        <x:v>ibd_general</x:v>
      </x:c>
      <x:c r="G22" s="27" t="str">
        <x:v>general_or_unspecified</x:v>
      </x:c>
      <x:c r="H22" s="27" t="str">
        <x:v>During the disease course, most Inflammatory Bowel Disease patients present a condition of malnutrition, undernutrition, or even overnutrition.</x:v>
      </x:c>
      <x:c r="I22" s="27" t="str">
        <x:v>The cited source reports that during the disease course, most Inflammatory Bowel Disease patients present a condition of malnutrition, undernutrition, or even overnutrition. The specific measured marker or inflammatory outcome should remain explicit.</x:v>
      </x:c>
      <x:c r="J22" s="27" t="str">
        <x:v>The cited source reports that during the disease course, most Inflammatory Bowel Disease patients present a condition of malnutrition, undernutrition, or even overnutrition. The specific measured marker or inflammatory outcome should remain explicit.</x:v>
      </x:c>
      <x:c r="K22" s="27" t="str">
        <x:v>During the disease course, most Inflammatory Bowel Disease patients present a condition of malnutrition, undernutrition, or even overnutrition.</x:v>
      </x:c>
      <x:c r="L22" s="27" t="str"/>
      <x:c r="M22" s="27" t="str">
        <x:v>PubMed abstract — sentence 1</x:v>
      </x:c>
      <x:c r="N22" s="27" t="str">
        <x:v>https://pubmed.ncbi.nlm.nih.gov/37686856/</x:v>
      </x:c>
      <x:c r="O22" s="27" t="str">
        <x:v>ready_for_human_review</x:v>
      </x:c>
      <x:c r="P22" s="27" t="str">
        <x:v>ready_for_final_independent_qa</x:v>
      </x:c>
      <x:c r="Q22" s="27" t="str">
        <x:v>pending_explicit_human_approval</x:v>
      </x:c>
      <x:c r="R22" s="27" t="str">
        <x:v>verified_against_public_abstract</x:v>
      </x:c>
      <x:c r="S22" s="27" t="str"/>
      <x:c r="T22" s="27" t="str">
        <x:v>Automated metadata and passage extraction; full methods and tables require human review. Public full text available for deeper review.</x:v>
      </x:c>
      <x:c r="U22" s="27" t="str">
        <x:v>pending_human_review</x:v>
      </x:c>
      <x:c r="V22" s="30" t="str"/>
      <x:c r="W22" s="30" t="str"/>
      <x:c r="X22" s="30" t="str"/>
    </x:row>
    <x:row r="23" ht="96" customHeight="1">
      <x:c r="A23" s="27" t="str">
        <x:v>CLM-031</x:v>
      </x:c>
      <x:c r="B23" s="27" t="str">
        <x:v>SRC-008</x:v>
      </x:c>
      <x:c r="C23" s="27" t="str"/>
      <x:c r="D23" s="27" t="str">
        <x:v>Nutrition, Nutritional Status, Micronutrients Deficiency, and Disease Course of Inflammatory Bowel Disease.</x:v>
      </x:c>
      <x:c r="E23" s="27" t="str">
        <x:v>nutrition_status</x:v>
      </x:c>
      <x:c r="F23" s="27" t="str">
        <x:v>ibd_general</x:v>
      </x:c>
      <x:c r="G23" s="27" t="str">
        <x:v>active_disease; remission</x:v>
      </x:c>
      <x:c r="H23" s="27" t="str">
        <x:v>A suboptimal nutritional status and low micronutrient serum levels can have a negative impact on both induction and maintenance of remission and on the quality of life of Inflammatory Bowel Disease patients.</x:v>
      </x:c>
      <x:c r="I23" s="27"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J23" s="27" t="str">
        <x:v>The cited source reports that a suboptimal nutritional status and low micronutrient serum levels can have a negative impact on both induction and maintenance of remission and on the quality of life of Inflammatory Bowel Disease patients. This is source-attributed information, not a treatment recommendation for an individual.</x:v>
      </x:c>
      <x:c r="K23" s="27" t="str">
        <x:v>A suboptimal nutritional status and low micronutrient serum levels can have a negative impact on both induction and maintenance of remission and on the quality of life of Inflammatory Bowel Disease patients.</x:v>
      </x:c>
      <x:c r="L23" s="27" t="str"/>
      <x:c r="M23" s="27" t="str">
        <x:v>PubMed abstract — sentence 3</x:v>
      </x:c>
      <x:c r="N23" s="27" t="str">
        <x:v>https://pubmed.ncbi.nlm.nih.gov/37686856/</x:v>
      </x:c>
      <x:c r="O23" s="27" t="str">
        <x:v>ready_for_human_review</x:v>
      </x:c>
      <x:c r="P23" s="27" t="str">
        <x:v>ready_for_final_independent_qa</x:v>
      </x:c>
      <x:c r="Q23" s="27" t="str">
        <x:v>pending_explicit_human_approval</x:v>
      </x:c>
      <x:c r="R23" s="27" t="str">
        <x:v>verified_against_public_abstract</x:v>
      </x:c>
      <x:c r="S23" s="27" t="str"/>
      <x:c r="T23" s="27" t="str">
        <x:v>Automated metadata and passage extraction; full methods and tables require human review. Public full text available for deeper review.</x:v>
      </x:c>
      <x:c r="U23" s="27" t="str">
        <x:v>pending_human_review</x:v>
      </x:c>
      <x:c r="V23" s="30" t="str"/>
      <x:c r="W23" s="30" t="str"/>
      <x:c r="X23" s="30" t="str"/>
    </x:row>
    <x:row r="24" ht="96" customHeight="1">
      <x:c r="A24" s="27" t="str">
        <x:v>CLM-033</x:v>
      </x:c>
      <x:c r="B24" s="27" t="str">
        <x:v>SRC-009</x:v>
      </x:c>
      <x:c r="C24" s="27" t="str"/>
      <x:c r="D24" s="27" t="str">
        <x:v>Systematic review and meta-analysis of sleep quality in inactive inflammatory bowel disease.</x:v>
      </x:c>
      <x:c r="E24" s="27" t="str">
        <x:v>sleep</x:v>
      </x:c>
      <x:c r="F24" s="27" t="str">
        <x:v>ibd_general</x:v>
      </x:c>
      <x:c r="G24" s="27" t="str">
        <x:v>general_or_unspecified</x:v>
      </x:c>
      <x:c r="H24" s="27" t="str">
        <x:v>Poor sleep in people with inflammatory bowel disease (IBD) has been demonstrated to be prevalent and has been associated with disease activity.</x:v>
      </x:c>
      <x:c r="I24" s="27" t="str">
        <x:v>The cited source reports that poor sleep in people with inflammatory bowel disease (IBD) has been demonstrated to be prevalent and has been associated with disease activity. This is population-level association evidence and does not establish causation or predict an individual's disease course. The specific measured marker or inflammatory outcome should remain explicit.</x:v>
      </x:c>
      <x:c r="J24" s="27" t="str">
        <x:v>The cited source reports that poor sleep in people with inflammatory bowel disease (IBD) has been demonstrated to be prevalent and has been associated with disease activity. This is population-level association evidence and does not establish causation or predict an individual's disease course. The specific measured marker or inflammatory outcome should remain explicit.</x:v>
      </x:c>
      <x:c r="K24" s="27" t="str">
        <x:v>Poor sleep in people with inflammatory bowel disease (IBD) has been demonstrated to be prevalent and has been associated with disease activity.</x:v>
      </x:c>
      <x:c r="L24" s="27" t="str"/>
      <x:c r="M24" s="27" t="str">
        <x:v>PubMed abstract — sentence 1</x:v>
      </x:c>
      <x:c r="N24" s="27" t="str">
        <x:v>https://pubmed.ncbi.nlm.nih.gov/36406652/</x:v>
      </x:c>
      <x:c r="O24" s="27" t="str">
        <x:v>ready_for_human_review</x:v>
      </x:c>
      <x:c r="P24" s="27" t="str">
        <x:v>ready_for_final_independent_qa</x:v>
      </x:c>
      <x:c r="Q24" s="27" t="str">
        <x:v>pending_explicit_human_approval</x:v>
      </x:c>
      <x:c r="R24" s="27" t="str">
        <x:v>verified_against_public_abstract</x:v>
      </x:c>
      <x:c r="S24" s="27" t="str"/>
      <x:c r="T24" s="27" t="str">
        <x:v>Automated metadata and passage extraction; full methods and tables require human review. Public full text available for deeper review.</x:v>
      </x:c>
      <x:c r="U24" s="27" t="str">
        <x:v>pending_human_review</x:v>
      </x:c>
      <x:c r="V24" s="30" t="str"/>
      <x:c r="W24" s="30" t="str"/>
      <x:c r="X24" s="30" t="str"/>
    </x:row>
    <x:row r="25" ht="96" customHeight="1">
      <x:c r="A25" s="27" t="str">
        <x:v>CLM-037</x:v>
      </x:c>
      <x:c r="B25" s="27" t="str">
        <x:v>SRC-010</x:v>
      </x:c>
      <x:c r="C25" s="27" t="str"/>
      <x:c r="D25" s="27" t="str">
        <x:v>Assessment of causal link between psychological factors and symptom exacerbation in inflammatory bowel disease: a systematic review utilising Bradford Hill criteria and meta-analysis of prospective cohort studies.</x:v>
      </x:c>
      <x:c r="E25" s="27" t="str">
        <x:v>stress_quality_of_life</x:v>
      </x:c>
      <x:c r="F25" s="27" t="str">
        <x:v>ibd_general</x:v>
      </x:c>
      <x:c r="G25" s="27" t="str">
        <x:v>general_or_unspecified</x:v>
      </x:c>
      <x:c r="H25" s="27" t="str">
        <x:v>Meta-analysis showed depression, anxiety and perceived stress did not have a statistically significant association with an increased risk of symptom exacerbation.</x:v>
      </x:c>
      <x:c r="I25" s="27"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J25" s="27" t="str">
        <x:v>The cited source reports that meta-analysis showed depression, anxiety and perceived stress did not have a statistically significant association with an increased risk of symptom exacerbation. This is population-level association evidence and does not establish causation or predict an individual's disease course. Symptom findings do not by themselves show reduced intestinal inflammation.</x:v>
      </x:c>
      <x:c r="K25" s="27" t="str">
        <x:v>Meta-analysis showed depression, anxiety and perceived stress did not have a statistically significant association with an increased risk of symptom exacerbation.</x:v>
      </x:c>
      <x:c r="L25" s="27" t="str"/>
      <x:c r="M25" s="27" t="str">
        <x:v>PubMed abstract — sentence 11</x:v>
      </x:c>
      <x:c r="N25" s="27" t="str">
        <x:v>https://pubmed.ncbi.nlm.nih.gov/32738908/</x:v>
      </x:c>
      <x:c r="O25" s="27" t="str">
        <x:v>ready_for_human_review</x:v>
      </x:c>
      <x:c r="P25" s="27" t="str">
        <x:v>ready_for_final_independent_qa</x:v>
      </x:c>
      <x:c r="Q25" s="27" t="str">
        <x:v>pending_explicit_human_approval</x:v>
      </x:c>
      <x:c r="R25" s="27" t="str">
        <x:v>verified_against_public_abstract</x:v>
      </x:c>
      <x:c r="S25" s="27" t="str"/>
      <x:c r="T25" s="27" t="str">
        <x:v>Automated metadata and passage extraction; full methods and tables require human review. Public full text available for deeper review.</x:v>
      </x:c>
      <x:c r="U25" s="27" t="str">
        <x:v>pending_human_review</x:v>
      </x:c>
      <x:c r="V25" s="30" t="str"/>
      <x:c r="W25" s="30" t="str"/>
      <x:c r="X25" s="30" t="str"/>
    </x:row>
    <x:row r="26" ht="96" customHeight="1">
      <x:c r="A26" s="27" t="str">
        <x:v>CLM-038</x:v>
      </x:c>
      <x:c r="B26" s="27" t="str">
        <x:v>SRC-010</x:v>
      </x:c>
      <x:c r="C26" s="27" t="str"/>
      <x:c r="D26" s="27" t="str">
        <x:v>Assessment of causal link between psychological factors and symptom exacerbation in inflammatory bowel disease: a systematic review utilising Bradford Hill criteria and meta-analysis of prospective cohort studies.</x:v>
      </x:c>
      <x:c r="E26" s="27" t="str">
        <x:v>stress_quality_of_life</x:v>
      </x:c>
      <x:c r="F26" s="27" t="str">
        <x:v>ibd_general</x:v>
      </x:c>
      <x:c r="G26" s="27" t="str">
        <x:v>general_or_unspecified</x:v>
      </x:c>
      <x:c r="H26" s="27" t="str">
        <x:v>Four of the Bradford Hill criteria were met which indicates that there is weak to moderate evidence of a causal association between all the psychological factors and disease activity.</x:v>
      </x:c>
      <x:c r="I26" s="27" t="str">
        <x:v>The cited source reports that four of the Bradford Hill criteria were met which indicates that there is weak to moderate evidence of a causal association between all the psychological factors and disease activity.</x:v>
      </x:c>
      <x:c r="J26" s="27" t="str">
        <x:v>The cited source reports that four of the Bradford Hill criteria were met which indicates that there is weak to moderate evidence of a causal association between all the psychological factors and disease activity.</x:v>
      </x:c>
      <x:c r="K26" s="27" t="str">
        <x:v>Four of the Bradford Hill criteria were met which indicates that there is weak to moderate evidence of a causal association between all the psychological factors and disease activity.</x:v>
      </x:c>
      <x:c r="L26" s="27" t="str"/>
      <x:c r="M26" s="27" t="str">
        <x:v>PubMed abstract — sentence 12</x:v>
      </x:c>
      <x:c r="N26" s="27" t="str">
        <x:v>https://pubmed.ncbi.nlm.nih.gov/32738908/</x:v>
      </x:c>
      <x:c r="O26" s="27" t="str">
        <x:v>ready_for_human_review</x:v>
      </x:c>
      <x:c r="P26" s="27" t="str">
        <x:v>ready_for_final_independent_qa</x:v>
      </x:c>
      <x:c r="Q26" s="27" t="str">
        <x:v>pending_explicit_human_approval</x:v>
      </x:c>
      <x:c r="R26" s="27" t="str">
        <x:v>verified_against_public_abstract</x:v>
      </x:c>
      <x:c r="S26" s="27" t="str"/>
      <x:c r="T26" s="27" t="str">
        <x:v>Automated metadata and passage extraction; full methods and tables require human review. Public full text available for deeper review.</x:v>
      </x:c>
      <x:c r="U26" s="27" t="str">
        <x:v>pending_human_review</x:v>
      </x:c>
      <x:c r="V26" s="30" t="str"/>
      <x:c r="W26" s="30" t="str"/>
      <x:c r="X26" s="30" t="str"/>
    </x:row>
    <x:row r="27" ht="96" customHeight="1">
      <x:c r="A27" s="27" t="str">
        <x:v>CLM-040</x:v>
      </x:c>
      <x:c r="B27" s="27" t="str">
        <x:v>SRC-010</x:v>
      </x:c>
      <x:c r="C27" s="27" t="str"/>
      <x:c r="D27" s="27" t="str">
        <x:v>Assessment of causal link between psychological factors and symptom exacerbation in inflammatory bowel disease: a systematic review utilising Bradford Hill criteria and meta-analysis of prospective cohort studies.</x:v>
      </x:c>
      <x:c r="E27" s="27" t="str">
        <x:v>stress_quality_of_life</x:v>
      </x:c>
      <x:c r="F27" s="27" t="str">
        <x:v>ibd_general</x:v>
      </x:c>
      <x:c r="G27" s="27" t="str">
        <x:v>general_or_unspecified</x:v>
      </x:c>
      <x:c r="H27"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I27" s="27"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J27" s="27" t="str">
        <x:v>The cited source reports that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 Symptom findings do not by themselves show reduced intestinal inflammation.</x:v>
      </x:c>
      <x:c r="K27" s="27" t="str">
        <x:v>CONCLUSIONS: This original review utilising Bradford Hill criteria in addition to meta-analysis to evaluate the causality of relationship between psychological factors and symptom exacerbation in IBD provides evidence that psychological factors have a weak to moderate causal involvement in IBD symptom exacerbation.</x:v>
      </x:c>
      <x:c r="L27" s="27" t="str"/>
      <x:c r="M27" s="27" t="str">
        <x:v>PubMed abstract — sentence 14</x:v>
      </x:c>
      <x:c r="N27" s="27" t="str">
        <x:v>https://pubmed.ncbi.nlm.nih.gov/32738908/</x:v>
      </x:c>
      <x:c r="O27" s="27" t="str">
        <x:v>ready_for_human_review</x:v>
      </x:c>
      <x:c r="P27" s="27" t="str">
        <x:v>ready_for_final_independent_qa</x:v>
      </x:c>
      <x:c r="Q27" s="27" t="str">
        <x:v>pending_explicit_human_approval</x:v>
      </x:c>
      <x:c r="R27" s="27" t="str">
        <x:v>verified_against_public_abstract</x:v>
      </x:c>
      <x:c r="S27" s="27" t="str"/>
      <x:c r="T27" s="27" t="str">
        <x:v>Automated metadata and passage extraction; full methods and tables require human review. Public full text available for deeper review.</x:v>
      </x:c>
      <x:c r="U27" s="27" t="str">
        <x:v>pending_human_review</x:v>
      </x:c>
      <x:c r="V27" s="30" t="str"/>
      <x:c r="W27" s="30" t="str"/>
      <x:c r="X27" s="30" t="str"/>
    </x:row>
    <x:row r="28" ht="96" customHeight="1">
      <x:c r="A28" s="27" t="str">
        <x:v>CLM-041</x:v>
      </x:c>
      <x:c r="B28" s="27" t="str">
        <x:v>SRC-011</x:v>
      </x:c>
      <x:c r="C28" s="27" t="str"/>
      <x:c r="D28" s="27" t="str">
        <x:v>Association of Dietary Fiber, Fruit, and Vegetable Consumption with Risk of Inflammatory Bowel Disease: A Systematic Review and Meta-Analysis.</x:v>
      </x:c>
      <x:c r="E28" s="27" t="str">
        <x:v>fruit_vegetables</x:v>
      </x:c>
      <x:c r="F28" s="27" t="str">
        <x:v>ibd_general</x:v>
      </x:c>
      <x:c r="G28" s="27" t="str">
        <x:v>general_or_unspecified</x:v>
      </x:c>
      <x:c r="H28" s="27" t="str">
        <x:v>In conclusion, dietary intake of fruit and vegetables was inversely associated with risk of IBD and its subtypes.</x:v>
      </x:c>
      <x:c r="I28" s="27" t="str">
        <x:v>The cited source reports that in conclusion, dietary intake of fruit and vegetables was inversely associated with risk of IBD and its subtypes. This is population-level association evidence and does not establish causation or predict an individual's disease course.</x:v>
      </x:c>
      <x:c r="J28" s="27" t="str">
        <x:v>The cited source reports that in conclusion, dietary intake of fruit and vegetables was inversely associated with risk of IBD and its subtypes. This is population-level association evidence and does not establish causation or predict an individual's disease course.</x:v>
      </x:c>
      <x:c r="K28" s="27" t="str">
        <x:v>In conclusion, dietary intake of fruit and vegetables was inversely associated with risk of IBD and its subtypes.</x:v>
      </x:c>
      <x:c r="L28" s="27" t="str"/>
      <x:c r="M28" s="27" t="str">
        <x:v>PubMed abstract — sentence 10</x:v>
      </x:c>
      <x:c r="N28" s="27" t="str">
        <x:v>https://pubmed.ncbi.nlm.nih.gov/33186988/</x:v>
      </x:c>
      <x:c r="O28" s="27" t="str">
        <x:v>ready_for_human_review</x:v>
      </x:c>
      <x:c r="P28" s="27" t="str">
        <x:v>ready_for_final_independent_qa</x:v>
      </x:c>
      <x:c r="Q28" s="27" t="str">
        <x:v>pending_explicit_human_approval</x:v>
      </x:c>
      <x:c r="R28" s="27" t="str">
        <x:v>verified_against_public_abstract</x:v>
      </x:c>
      <x:c r="S28" s="27" t="str"/>
      <x:c r="T28" s="27" t="str">
        <x:v>Automated metadata and passage extraction; full methods and tables require human review. Public full text available for deeper review.</x:v>
      </x:c>
      <x:c r="U28" s="27" t="str">
        <x:v>pending_human_review</x:v>
      </x:c>
      <x:c r="V28" s="30" t="str"/>
      <x:c r="W28" s="30" t="str"/>
      <x:c r="X28" s="30" t="str"/>
    </x:row>
    <x:row r="29" ht="96" customHeight="1">
      <x:c r="A29" s="27" t="str">
        <x:v>CLM-042</x:v>
      </x:c>
      <x:c r="B29" s="27" t="str">
        <x:v>SRC-011</x:v>
      </x:c>
      <x:c r="C29" s="27" t="str"/>
      <x:c r="D29" s="27" t="str">
        <x:v>Association of Dietary Fiber, Fruit, and Vegetable Consumption with Risk of Inflammatory Bowel Disease: A Systematic Review and Meta-Analysis.</x:v>
      </x:c>
      <x:c r="E29" s="27" t="str">
        <x:v>fibre</x:v>
      </x:c>
      <x:c r="F29" s="27" t="str">
        <x:v>ibd_general</x:v>
      </x:c>
      <x:c r="G29" s="27" t="str">
        <x:v>general_or_unspecified</x:v>
      </x:c>
      <x:c r="H29" s="27" t="str">
        <x:v>Dietary fiber intake was also inversely associated with incidence of IBD and CD, but not with UC.</x:v>
      </x:c>
      <x:c r="I29" s="27" t="str">
        <x:v>The cited source reports that dietary fiber intake was also inversely associated with incidence of IBD and CD, but not with UC. This is population-level association evidence and does not establish causation or predict an individual's disease course.</x:v>
      </x:c>
      <x:c r="J29" s="27" t="str">
        <x:v>The cited source reports that dietary fiber intake was also inversely associated with incidence of IBD and CD, but not with UC. This is population-level association evidence and does not establish causation or predict an individual's disease course.</x:v>
      </x:c>
      <x:c r="K29" s="27" t="str">
        <x:v>Dietary fiber intake was also inversely associated with incidence of IBD and CD, but not with UC.</x:v>
      </x:c>
      <x:c r="L29" s="27" t="str"/>
      <x:c r="M29" s="27" t="str">
        <x:v>PubMed abstract — sentence 11</x:v>
      </x:c>
      <x:c r="N29" s="27" t="str">
        <x:v>https://pubmed.ncbi.nlm.nih.gov/33186988/</x:v>
      </x:c>
      <x:c r="O29" s="27" t="str">
        <x:v>ready_for_human_review</x:v>
      </x:c>
      <x:c r="P29" s="27" t="str">
        <x:v>ready_for_final_independent_qa</x:v>
      </x:c>
      <x:c r="Q29" s="27" t="str">
        <x:v>pending_explicit_human_approval</x:v>
      </x:c>
      <x:c r="R29" s="27" t="str">
        <x:v>verified_against_public_abstract</x:v>
      </x:c>
      <x:c r="S29" s="27" t="str"/>
      <x:c r="T29" s="27" t="str">
        <x:v>Automated metadata and passage extraction; full methods and tables require human review. Public full text available for deeper review.</x:v>
      </x:c>
      <x:c r="U29" s="27" t="str">
        <x:v>pending_human_review</x:v>
      </x:c>
      <x:c r="V29" s="30" t="str"/>
      <x:c r="W29" s="30" t="str"/>
      <x:c r="X29" s="30" t="str"/>
    </x:row>
    <x:row r="30" ht="96" customHeight="1">
      <x:c r="A30" s="27" t="str">
        <x:v>CLM-044</x:v>
      </x:c>
      <x:c r="B30" s="27" t="str">
        <x:v>SRC-011</x:v>
      </x:c>
      <x:c r="C30" s="27" t="str"/>
      <x:c r="D30" s="27" t="str">
        <x:v>Association of Dietary Fiber, Fruit, and Vegetable Consumption with Risk of Inflammatory Bowel Disease: A Systematic Review and Meta-Analysis.</x:v>
      </x:c>
      <x:c r="E30" s="27" t="str">
        <x:v>fibre</x:v>
      </x:c>
      <x:c r="F30" s="27" t="str">
        <x:v>ibd_general</x:v>
      </x:c>
      <x:c r="G30" s="27" t="str">
        <x:v>general_or_unspecified</x:v>
      </x:c>
      <x:c r="H30" s="27" t="str">
        <x:v>Dietary fiber and its major sources can influence the risk of IBD by modulation of the gut microbiota.</x:v>
      </x:c>
      <x:c r="I30" s="27"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J30" s="27" t="str">
        <x:v>The cited source reports that dietary fiber and its major sources has been hypothesized to influence the risk of IBD by modulation of the gut microbiota. This is population-level association evidence and does not establish causation or predict an individual's disease course.</x:v>
      </x:c>
      <x:c r="K30" s="27" t="str">
        <x:v>Dietary fiber and its major sources can influence the risk of IBD by modulation of the gut microbiota.</x:v>
      </x:c>
      <x:c r="L30" s="27" t="str"/>
      <x:c r="M30" s="27" t="str">
        <x:v>PubMed abstract — sentence 2</x:v>
      </x:c>
      <x:c r="N30" s="27" t="str">
        <x:v>https://pubmed.ncbi.nlm.nih.gov/33186988/</x:v>
      </x:c>
      <x:c r="O30" s="27" t="str">
        <x:v>ready_for_human_review</x:v>
      </x:c>
      <x:c r="P30" s="27" t="str">
        <x:v>ready_for_final_independent_qa</x:v>
      </x:c>
      <x:c r="Q30" s="27" t="str">
        <x:v>pending_explicit_human_approval</x:v>
      </x:c>
      <x:c r="R30" s="27" t="str">
        <x:v>verified_against_public_abstract</x:v>
      </x:c>
      <x:c r="S30" s="27" t="str"/>
      <x:c r="T30" s="27" t="str">
        <x:v>Automated metadata and passage extraction; full methods and tables require human review. Public full text available for deeper review.</x:v>
      </x:c>
      <x:c r="U30" s="27" t="str">
        <x:v>pending_human_review</x:v>
      </x:c>
      <x:c r="V30" s="30" t="str"/>
      <x:c r="W30" s="30" t="str"/>
      <x:c r="X30" s="30" t="str"/>
    </x:row>
    <x:row r="31" ht="96" customHeight="1">
      <x:c r="A31" s="27" t="str">
        <x:v>CLM-046</x:v>
      </x:c>
      <x:c r="B31" s="27" t="str">
        <x:v>SRC-012</x:v>
      </x:c>
      <x:c r="C31" s="27" t="str"/>
      <x:c r="D31" s="27" t="str">
        <x:v>Efficacy and safety of probiotics in the induction and maintenance of inflammatory bowel disease remission: a systematic review and meta-analysis.</x:v>
      </x:c>
      <x:c r="E31" s="27" t="str">
        <x:v>probiotics_prebiotics</x:v>
      </x:c>
      <x:c r="F31" s="27" t="str">
        <x:v>ibd_general</x:v>
      </x:c>
      <x:c r="G31" s="27" t="str">
        <x:v>remission</x:v>
      </x:c>
      <x:c r="H31" s="27" t="str">
        <x:v>Probiotics have been widely used in the treatment of inflammatory bowel disease (IBD) due to their special conditioning effects on the intestinal flora, but their efficacy in inducing and maintaining remission is still controversial.</x:v>
      </x:c>
      <x:c r="I31" s="27"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J31" s="27" t="str">
        <x:v>The cited source reports that probiotics have been widely used in the treatment of inflammatory bowel disease (IBD) due to their special conditioning effects on the intestinal flora, but their efficacy in inducing and maintaining remission is still controversial. This is source-attributed information, not a treatment recommendation for an individual.</x:v>
      </x:c>
      <x:c r="K31" s="27" t="str">
        <x:v>Probiotics have been widely used in the treatment of inflammatory bowel disease (IBD) due to their special conditioning effects on the intestinal flora, but their efficacy in inducing and maintaining remission is still controversial.</x:v>
      </x:c>
      <x:c r="L31" s="27" t="str"/>
      <x:c r="M31" s="27" t="str">
        <x:v>PubMed abstract — sentence 1</x:v>
      </x:c>
      <x:c r="N31" s="27" t="str">
        <x:v>https://pubmed.ncbi.nlm.nih.gov/34872306/</x:v>
      </x:c>
      <x:c r="O31" s="27" t="str">
        <x:v>ready_for_human_review</x:v>
      </x:c>
      <x:c r="P31" s="27" t="str">
        <x:v>ready_for_final_independent_qa</x:v>
      </x:c>
      <x:c r="Q31" s="27" t="str">
        <x:v>pending_explicit_human_approval</x:v>
      </x:c>
      <x:c r="R31" s="27" t="str">
        <x:v>verified_against_public_abstract</x:v>
      </x:c>
      <x:c r="S31" s="27" t="str"/>
      <x:c r="T31" s="27" t="str">
        <x:v>Automated metadata and passage extraction; full methods and tables require human review. Abstract-only record limits appraisal.</x:v>
      </x:c>
      <x:c r="U31" s="27" t="str">
        <x:v>pending_human_review</x:v>
      </x:c>
      <x:c r="V31" s="30" t="str"/>
      <x:c r="W31" s="30" t="str"/>
      <x:c r="X31" s="30" t="str"/>
    </x:row>
    <x:row r="32" ht="96" customHeight="1">
      <x:c r="A32" s="27" t="str">
        <x:v>CLM-048</x:v>
      </x:c>
      <x:c r="B32" s="27" t="str">
        <x:v>SRC-012</x:v>
      </x:c>
      <x:c r="C32" s="27" t="str"/>
      <x:c r="D32" s="27" t="str">
        <x:v>Efficacy and safety of probiotics in the induction and maintenance of inflammatory bowel disease remission: a systematic review and meta-analysis.</x:v>
      </x:c>
      <x:c r="E32" s="27" t="str">
        <x:v>probiotics_prebiotics</x:v>
      </x:c>
      <x:c r="F32" s="27" t="str">
        <x:v>ulcerative_colitis; crohns_disease; ibd_general</x:v>
      </x:c>
      <x:c r="G32" s="27" t="str">
        <x:v>remission</x:v>
      </x:c>
      <x:c r="H32" s="27" t="str">
        <x:v>Meta-analysis showed that there was no significant difference between the clinical recurrence rate of probiotics in the CD remission phase and the control group [relative risk (RR): 0.80, 95% confidence interval (CI): 0.61-1.06, P=0.12].</x:v>
      </x:c>
      <x:c r="I32" s="27" t="str">
        <x:v>The cited source reports that meta-analysis showed that there was no significant difference between the clinical recurrence rate of probiotics in the CD remission phase and the control group [relative risk (RR): 0.80, 95% confidence interval (CI): 0.61-1.06, P=0.12]. This is population-level association evidence and does not establish causation or predict an individual's disease course. This is source-attributed information, not a treatment recommendation for an individual.</x:v>
      </x:c>
      <x:c r="J32" s="27" t="str">
        <x:v>The cited source reports that meta-analysis showed that there was no significant difference between the clinical recurrence rate of probiotics in the CD remission phase and the control group [relative risk (RR): 0.80, 95% confidence interval (CI): 0.61-1.06, P=0.12]. This is population-level association evidence and does not establish causation or predict an individual's disease course. This is source-attributed information, not a treatment recommendation for an individual.</x:v>
      </x:c>
      <x:c r="K32" s="27" t="str">
        <x:v>Meta-analysis showed that there was no significant difference between the clinical recurrence rate of probiotics in the CD remission phase and the control group [relative risk (RR): 0.80, 95% confidence interval (CI): 0.61-1.06, P=0.12].</x:v>
      </x:c>
      <x:c r="L32" s="27" t="str"/>
      <x:c r="M32" s="27" t="str">
        <x:v>PubMed abstract — sentence 8</x:v>
      </x:c>
      <x:c r="N32" s="27" t="str">
        <x:v>https://pubmed.ncbi.nlm.nih.gov/34872306/</x:v>
      </x:c>
      <x:c r="O32" s="27" t="str">
        <x:v>ready_for_human_review</x:v>
      </x:c>
      <x:c r="P32" s="27" t="str">
        <x:v>ready_for_final_independent_qa</x:v>
      </x:c>
      <x:c r="Q32" s="27" t="str">
        <x:v>pending_explicit_human_approval</x:v>
      </x:c>
      <x:c r="R32" s="27" t="str">
        <x:v>verified_against_public_abstract</x:v>
      </x:c>
      <x:c r="S32" s="27" t="str"/>
      <x:c r="T32" s="27" t="str">
        <x:v>Automated metadata and passage extraction; full methods and tables require human review. Abstract-only record limits appraisal.</x:v>
      </x:c>
      <x:c r="U32" s="27" t="str">
        <x:v>pending_human_review</x:v>
      </x:c>
      <x:c r="V32" s="30" t="str"/>
      <x:c r="W32" s="30" t="str"/>
      <x:c r="X32" s="30" t="str"/>
    </x:row>
    <x:row r="33" ht="96" customHeight="1">
      <x:c r="A33" s="27" t="str">
        <x:v>CLM-049</x:v>
      </x:c>
      <x:c r="B33" s="27" t="str">
        <x:v>SRC-013</x:v>
      </x:c>
      <x:c r="C33" s="27" t="str"/>
      <x:c r="D33" s="27" t="str">
        <x:v>Ultra-processed foods and food additives in gut health and disease.</x:v>
      </x:c>
      <x:c r="E33" s="27" t="str">
        <x:v>food_additives</x:v>
      </x:c>
      <x:c r="F33" s="27" t="str">
        <x:v>ibd_general</x:v>
      </x:c>
      <x:c r="G33" s="27" t="str">
        <x:v>general_or_unspecified</x:v>
      </x:c>
      <x:c r="H33" s="27" t="str">
        <x:v>For example, evidence shows that some emulsifiers, sweeteners, colours, and microparticles and nanoparticles have effects on a range of outcomes, including the gut microbiome, intestinal permeability and intestinal inflammation.</x:v>
      </x:c>
      <x:c r="I33" s="27"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J33" s="27" t="str">
        <x:v>The cited source reports that for example, evidence shows that some emulsifiers, sweeteners, colours, and microparticles and nanoparticles have effects on a range of outcomes, including the gut microbiome, intestinal permeability and intestinal inflammation. The specific measured marker or inflammatory outcome should remain explicit.</x:v>
      </x:c>
      <x:c r="K33" s="27" t="str">
        <x:v>For example, evidence shows that some emulsifiers, sweeteners, colours, and microparticles and nanoparticles have effects on a range of outcomes, including the gut microbiome, intestinal permeability and intestinal inflammation.</x:v>
      </x:c>
      <x:c r="L33" s="27" t="str"/>
      <x:c r="M33" s="27" t="str">
        <x:v>PubMed abstract — sentence 4</x:v>
      </x:c>
      <x:c r="N33" s="27" t="str">
        <x:v>https://pubmed.ncbi.nlm.nih.gov/38388570/</x:v>
      </x:c>
      <x:c r="O33" s="27" t="str">
        <x:v>ready_for_human_review</x:v>
      </x:c>
      <x:c r="P33" s="27" t="str">
        <x:v>ready_for_final_independent_qa</x:v>
      </x:c>
      <x:c r="Q33" s="27" t="str">
        <x:v>pending_explicit_human_approval</x:v>
      </x:c>
      <x:c r="R33" s="27" t="str">
        <x:v>verified_against_public_abstract</x:v>
      </x:c>
      <x:c r="S33" s="27" t="str"/>
      <x:c r="T33" s="27" t="str">
        <x:v>Automated metadata and passage extraction; full methods and tables require human review. Public full text available for deeper review.</x:v>
      </x:c>
      <x:c r="U33" s="27" t="str">
        <x:v>pending_human_review</x:v>
      </x:c>
      <x:c r="V33" s="30" t="str"/>
      <x:c r="W33" s="30" t="str"/>
      <x:c r="X33" s="30" t="str"/>
    </x:row>
    <x:row r="34" ht="96" customHeight="1">
      <x:c r="A34" s="27" t="str">
        <x:v>CLM-050</x:v>
      </x:c>
      <x:c r="B34" s="27" t="str">
        <x:v>SRC-013</x:v>
      </x:c>
      <x:c r="C34" s="27" t="str"/>
      <x:c r="D34" s="27" t="str">
        <x:v>Ultra-processed foods and food additives in gut health and disease.</x:v>
      </x:c>
      <x:c r="E34" s="27" t="str">
        <x:v>food_additives</x:v>
      </x:c>
      <x:c r="F34" s="27" t="str">
        <x:v>ibd_general</x:v>
      </x:c>
      <x:c r="G34" s="27" t="str">
        <x:v>general_or_unspecified</x:v>
      </x:c>
      <x:c r="H34" s="27" t="str">
        <x:v>Broadly speaking, evidence for the effect of UPFs on gut disease comes from observational epidemiological studies, whereas, by contrast, evidence for the effect of food additives comes largely from preclinical studies conducted in vitro or in animal models.</x:v>
      </x:c>
      <x:c r="I34" s="27" t="str"/>
      <x:c r="J34" s="27" t="str">
        <x:v>Broadly speaking, evidence for the effect of UPFs on gut disease comes from observational epidemiological studies, whereas, by contrast, evidence for the effect of food additives comes largely from preclinical studies conducted in vitro or in animal models.</x:v>
      </x:c>
      <x:c r="K34" s="27" t="str">
        <x:v>Broadly speaking, evidence for the effect of UPFs on gut disease comes from observational epidemiological studies, whereas, by contrast, evidence for the effect of food additives comes largely from preclinical studies conducted in vitro or in animal models.</x:v>
      </x:c>
      <x:c r="L34" s="27" t="str"/>
      <x:c r="M34" s="27" t="str">
        <x:v>PubMed abstract — sentence 5</x:v>
      </x:c>
      <x:c r="N34" s="27" t="str">
        <x:v>https://pubmed.ncbi.nlm.nih.gov/38388570/</x:v>
      </x:c>
      <x:c r="O34" s="27" t="str">
        <x:v>ready_for_human_review</x:v>
      </x:c>
      <x:c r="P34" s="27" t="str">
        <x:v>ready_for_final_independent_qa</x:v>
      </x:c>
      <x:c r="Q34" s="27" t="str">
        <x:v>pending_explicit_human_approval</x:v>
      </x:c>
      <x:c r="R34" s="27" t="str">
        <x:v>verified_against_public_abstract</x:v>
      </x:c>
      <x:c r="S34" s="27" t="str"/>
      <x:c r="T34" s="27" t="str">
        <x:v>Automated metadata and passage extraction; full methods and tables require human review. Public full text available for deeper review.</x:v>
      </x:c>
      <x:c r="U34" s="27" t="str">
        <x:v>pending_human_review</x:v>
      </x:c>
      <x:c r="V34" s="30" t="str"/>
      <x:c r="W34" s="30" t="str"/>
      <x:c r="X34" s="30" t="str"/>
    </x:row>
    <x:row r="35" ht="96" customHeight="1">
      <x:c r="A35" s="27" t="str">
        <x:v>CLM-051</x:v>
      </x:c>
      <x:c r="B35" s="27" t="str">
        <x:v>SRC-013</x:v>
      </x:c>
      <x:c r="C35" s="27" t="str"/>
      <x:c r="D35" s="27" t="str">
        <x:v>Ultra-processed foods and food additives in gut health and disease.</x:v>
      </x:c>
      <x:c r="E35" s="27" t="str">
        <x:v>core_condition_knowledge</x:v>
      </x:c>
      <x:c r="F35" s="27" t="str">
        <x:v>ibd_general</x:v>
      </x:c>
      <x:c r="G35" s="27" t="str">
        <x:v>general_or_unspecified</x:v>
      </x:c>
      <x:c r="H35" s="27" t="str">
        <x:v>There is increasing evidence of an association between diets rich in UPFs and gut disease, including inflammatory bowel disease, colorectal cancer and irritable bowel syndrome.</x:v>
      </x:c>
      <x:c r="I35" s="27"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J35" s="27" t="str">
        <x:v>The cited source reports that there is increasing evidence of an association between diets rich in UPFs and gut disease, including inflammatory bowel disease, colorectal cancer and irritable bowel syndrome. The specific measured marker or inflammatory outcome should remain explicit.</x:v>
      </x:c>
      <x:c r="K35" s="27" t="str">
        <x:v>There is increasing evidence of an association between diets rich in UPFs and gut disease, including inflammatory bowel disease, colorectal cancer and irritable bowel syndrome.</x:v>
      </x:c>
      <x:c r="L35" s="27" t="str"/>
      <x:c r="M35" s="27" t="str">
        <x:v>PubMed abstract — sentence 2</x:v>
      </x:c>
      <x:c r="N35" s="27" t="str">
        <x:v>https://pubmed.ncbi.nlm.nih.gov/38388570/</x:v>
      </x:c>
      <x:c r="O35" s="27" t="str">
        <x:v>ready_for_human_review</x:v>
      </x:c>
      <x:c r="P35" s="27" t="str">
        <x:v>ready_for_final_independent_qa</x:v>
      </x:c>
      <x:c r="Q35" s="27" t="str">
        <x:v>pending_explicit_human_approval</x:v>
      </x:c>
      <x:c r="R35" s="27" t="str">
        <x:v>verified_against_public_abstract</x:v>
      </x:c>
      <x:c r="S35" s="27" t="str"/>
      <x:c r="T35" s="27" t="str">
        <x:v>Automated metadata and passage extraction; full methods and tables require human review. Public full text available for deeper review.</x:v>
      </x:c>
      <x:c r="U35" s="27" t="str">
        <x:v>pending_human_review</x:v>
      </x:c>
      <x:c r="V35" s="30" t="str"/>
      <x:c r="W35" s="30" t="str"/>
      <x:c r="X35" s="30" t="str"/>
    </x:row>
    <x:row r="36" ht="96" customHeight="1">
      <x:c r="A36" s="27" t="str">
        <x:v>CLM-053</x:v>
      </x:c>
      <x:c r="B36" s="27" t="str">
        <x:v>SRC-014</x:v>
      </x:c>
      <x:c r="C36" s="27" t="str"/>
      <x:c r="D36" s="27" t="str">
        <x:v>Physical Activity is Associated with a Decreased Risk of Developing Inflammatory Bowel Disease: A Systematic Review and Meta-analysis.</x:v>
      </x:c>
      <x:c r="E36" s="27" t="str">
        <x:v>physical_activity</x:v>
      </x:c>
      <x:c r="F36" s="27" t="str">
        <x:v>ibd_general</x:v>
      </x:c>
      <x:c r="G36" s="27" t="str">
        <x:v>general_or_unspecified</x:v>
      </x:c>
      <x:c r="H36" s="27" t="str">
        <x:v>CONCLUSION: This meta-analysis suggests that physical activity is inversely associated with the risk of developing IBD, more so in CD than in UC.</x:v>
      </x:c>
      <x:c r="I36" s="27"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J36" s="27" t="str">
        <x:v>The cited source reports that this meta-analysis suggests that physical activity is inversely associated with the risk of developing IBD, more so in CD than in UC. This is population-level association evidence and does not establish causation or predict an individual's disease course.</x:v>
      </x:c>
      <x:c r="K36" s="27" t="str">
        <x:v>CONCLUSION: This meta-analysis suggests that physical activity is inversely associated with the risk of developing IBD, more so in CD than in UC.</x:v>
      </x:c>
      <x:c r="L36" s="27" t="str"/>
      <x:c r="M36" s="27" t="str">
        <x:v>PubMed abstract — sentence 12</x:v>
      </x:c>
      <x:c r="N36" s="27" t="str">
        <x:v>https://pubmed.ncbi.nlm.nih.gov/38597690/</x:v>
      </x:c>
      <x:c r="O36" s="27" t="str">
        <x:v>ready_for_human_review</x:v>
      </x:c>
      <x:c r="P36" s="27" t="str">
        <x:v>ready_for_final_independent_qa</x:v>
      </x:c>
      <x:c r="Q36" s="27" t="str">
        <x:v>pending_explicit_human_approval</x:v>
      </x:c>
      <x:c r="R36" s="27" t="str">
        <x:v>verified_against_public_abstract</x:v>
      </x:c>
      <x:c r="S36" s="27" t="str"/>
      <x:c r="T36" s="27" t="str">
        <x:v>Automated metadata and passage extraction; full methods and tables require human review. Abstract-only record limits appraisal.</x:v>
      </x:c>
      <x:c r="U36" s="27" t="str">
        <x:v>pending_human_review</x:v>
      </x:c>
      <x:c r="V36" s="30" t="str"/>
      <x:c r="W36" s="30" t="str"/>
      <x:c r="X36" s="30" t="str"/>
    </x:row>
    <x:row r="37" ht="96" customHeight="1">
      <x:c r="A37" s="27" t="str">
        <x:v>CLM-061</x:v>
      </x:c>
      <x:c r="B37" s="27" t="str">
        <x:v>SRC-016</x:v>
      </x:c>
      <x:c r="C37" s="27" t="str"/>
      <x:c r="D37" s="27" t="str">
        <x:v>A Randomized Trial Comparing the Specific Carbohydrate Diet to a Mediterranean Diet in Adults With Crohn's Disease.</x:v>
      </x:c>
      <x:c r="E37" s="27" t="str">
        <x:v>symptoms_vs_inflammation</x:v>
      </x:c>
      <x:c r="F37" s="27" t="str">
        <x:v>crohns_disease</x:v>
      </x:c>
      <x:c r="G37" s="27" t="str">
        <x:v>remission</x:v>
      </x:c>
      <x:c r="H37" s="27" t="str">
        <x:v>CONCLUSIONS: The SCD was not superior to the MD to achieve symptomatic remission, FC response, and CRP response.</x:v>
      </x:c>
      <x:c r="I37" s="27"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J37" s="27" t="str">
        <x:v>The cited source reports that the SCD was not superior to the MD to achieve symptomatic remission, FC response, and CRP response. This is source-attributed information, not a treatment recommendation for an individual. Symptom findings do not by themselves show reduced intestinal inflammation.</x:v>
      </x:c>
      <x:c r="K37" s="27" t="str">
        <x:v>CONCLUSIONS: The SCD was not superior to the MD to achieve symptomatic remission, FC response, and CRP response.</x:v>
      </x:c>
      <x:c r="L37" s="27" t="str"/>
      <x:c r="M37" s="27" t="str">
        <x:v>PubMed abstract — sentence 11</x:v>
      </x:c>
      <x:c r="N37" s="27" t="str">
        <x:v>https://pubmed.ncbi.nlm.nih.gov/34052278/</x:v>
      </x:c>
      <x:c r="O37" s="27" t="str">
        <x:v>ready_for_human_review</x:v>
      </x:c>
      <x:c r="P37" s="27" t="str">
        <x:v>ready_for_final_independent_qa</x:v>
      </x:c>
      <x:c r="Q37" s="27" t="str">
        <x:v>pending_explicit_human_approval</x:v>
      </x:c>
      <x:c r="R37" s="27" t="str">
        <x:v>verified_against_public_abstract</x:v>
      </x:c>
      <x:c r="S37" s="27" t="str"/>
      <x:c r="T37" s="27" t="str">
        <x:v>Automated metadata and passage extraction; full methods and tables require human review. Public full text available for deeper review.</x:v>
      </x:c>
      <x:c r="U37" s="27" t="str">
        <x:v>pending_human_review</x:v>
      </x:c>
      <x:c r="V37" s="30" t="str"/>
      <x:c r="W37" s="30" t="str"/>
      <x:c r="X37" s="30" t="str"/>
    </x:row>
    <x:row r="38" ht="96" customHeight="1">
      <x:c r="A38" s="27" t="str">
        <x:v>CLM-062</x:v>
      </x:c>
      <x:c r="B38" s="27" t="str">
        <x:v>SRC-016</x:v>
      </x:c>
      <x:c r="C38" s="27" t="str"/>
      <x:c r="D38" s="27" t="str">
        <x:v>A Randomized Trial Comparing the Specific Carbohydrate Diet to a Mediterranean Diet in Adults With Crohn's Disease.</x:v>
      </x:c>
      <x:c r="E38" s="27" t="str">
        <x:v>symptoms_vs_inflammation</x:v>
      </x:c>
      <x:c r="F38" s="27" t="str">
        <x:v>crohns_disease</x:v>
      </x:c>
      <x:c r="G38" s="27" t="str">
        <x:v>general_or_unspecified</x:v>
      </x:c>
      <x:c r="H38" s="27" t="str">
        <x:v>Given these results, the greater ease of following the MD and other health benefits associated with the MD, the MD may be preferred to the SCD for most patients with CD with mild to moderate symptoms.</x:v>
      </x:c>
      <x:c r="I38" s="27"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J38" s="27" t="str">
        <x:v>The cited source reports that given these results, the greater ease of following the MD and other health benefits associated with the MD, the MD may be preferred to the SCD for most patients with CD with mild to moderate symptoms. This is population-level association evidence and does not establish causation or predict an individual's disease course. This is source-attributed information, not a treatment recommendation for an individual. Symptom findings do not by themselves show reduced intestinal inflammation.</x:v>
      </x:c>
      <x:c r="K38" s="27" t="str">
        <x:v>Given these results, the greater ease of following the MD and other health benefits associated with the MD, the MD may be preferred to the SCD for most patients with CD with mild to moderate symptoms.</x:v>
      </x:c>
      <x:c r="L38" s="27" t="str"/>
      <x:c r="M38" s="27" t="str">
        <x:v>PubMed abstract — sentence 13</x:v>
      </x:c>
      <x:c r="N38" s="27" t="str">
        <x:v>https://pubmed.ncbi.nlm.nih.gov/34052278/</x:v>
      </x:c>
      <x:c r="O38" s="27" t="str">
        <x:v>ready_for_human_review</x:v>
      </x:c>
      <x:c r="P38" s="27" t="str">
        <x:v>ready_for_final_independent_qa</x:v>
      </x:c>
      <x:c r="Q38" s="27" t="str">
        <x:v>pending_explicit_human_approval</x:v>
      </x:c>
      <x:c r="R38" s="27" t="str">
        <x:v>verified_against_public_abstract</x:v>
      </x:c>
      <x:c r="S38" s="27" t="str"/>
      <x:c r="T38" s="27" t="str">
        <x:v>Automated metadata and passage extraction; full methods and tables require human review. Public full text available for deeper review.</x:v>
      </x:c>
      <x:c r="U38" s="27" t="str">
        <x:v>pending_human_review</x:v>
      </x:c>
      <x:c r="V38" s="30" t="str"/>
      <x:c r="W38" s="30" t="str"/>
      <x:c r="X38" s="30" t="str"/>
    </x:row>
    <x:row r="39" ht="96" customHeight="1">
      <x:c r="A39" s="27" t="str">
        <x:v>CLM-066</x:v>
      </x:c>
      <x:c r="B39" s="27" t="str">
        <x:v>SRC-017</x:v>
      </x:c>
      <x:c r="C39" s="27" t="str"/>
      <x:c r="D39" s="27" t="str">
        <x:v>Crohn's Disease Exclusion Diet Plus Partial Enteral Nutrition Induces Sustained Remission in a Randomized Controlled Trial.</x:v>
      </x:c>
      <x:c r="E39" s="27" t="str">
        <x:v>symptoms_vs_inflammation</x:v>
      </x:c>
      <x:c r="F39" s="27" t="str">
        <x:v>crohns_disease</x:v>
      </x:c>
      <x:c r="G39" s="27" t="str">
        <x:v>remission</x:v>
      </x:c>
      <x:c r="H39" s="27" t="str">
        <x:v>In children given CDED plus PEN, corticosteroid-free remission was associated with sustained reductions in inflammation (based on serum level of C-reactive protein and fecal level of calprotectin) and fecal Proteobacteria.</x:v>
      </x:c>
      <x:c r="I39" s="27"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J39" s="27" t="str">
        <x:v>The cited source reports that in children given CDED plus PEN, corticosteroid-free remission was associated with sustained reductions in inflammation (based on serum level of C-reactive protein and fecal level of calprotectin) and fecal Proteobacteria. This is population-level association evidence and does not establish causation or predict an individual's disease course. This is source-attributed information, not a treatment recommendation for an individual. The specific measured marker or inflammatory outcome should remain explicit.</x:v>
      </x:c>
      <x:c r="K39" s="27" t="str">
        <x:v>In children given CDED plus PEN, corticosteroid-free remission was associated with sustained reductions in inflammation (based on serum level of C-reactive protein and fecal level of calprotectin) and fecal Proteobacteria.</x:v>
      </x:c>
      <x:c r="L39" s="27" t="str"/>
      <x:c r="M39" s="27" t="str">
        <x:v>PubMed abstract — sentence 12</x:v>
      </x:c>
      <x:c r="N39" s="27" t="str">
        <x:v>https://pubmed.ncbi.nlm.nih.gov/31170412/</x:v>
      </x:c>
      <x:c r="O39" s="27" t="str">
        <x:v>ready_for_human_review</x:v>
      </x:c>
      <x:c r="P39" s="27" t="str">
        <x:v>ready_for_final_independent_qa</x:v>
      </x:c>
      <x:c r="Q39" s="27" t="str">
        <x:v>pending_explicit_human_approval</x:v>
      </x:c>
      <x:c r="R39" s="27" t="str">
        <x:v>verified_against_public_abstract</x:v>
      </x:c>
      <x:c r="S39" s="27" t="str"/>
      <x:c r="T39" s="27" t="str">
        <x:v>Automated metadata and passage extraction; full methods and tables require human review. Abstract-only record limits appraisal.</x:v>
      </x:c>
      <x:c r="U39" s="27" t="str">
        <x:v>pending_human_review</x:v>
      </x:c>
      <x:c r="V39" s="30" t="str"/>
      <x:c r="W39" s="30" t="str"/>
      <x:c r="X39" s="30" t="str"/>
    </x:row>
    <x:row r="40" ht="96" customHeight="1">
      <x:c r="A40" s="27" t="str">
        <x:v>CLM-068</x:v>
      </x:c>
      <x:c r="B40" s="27" t="str">
        <x:v>SRC-017</x:v>
      </x:c>
      <x:c r="C40" s="27" t="str"/>
      <x:c r="D40" s="27" t="str">
        <x:v>Crohn's Disease Exclusion Diet Plus Partial Enteral Nutrition Induces Sustained Remission in a Randomized Controlled Trial.</x:v>
      </x:c>
      <x:c r="E40" s="27" t="str">
        <x:v>core_condition_knowledge</x:v>
      </x:c>
      <x:c r="F40" s="27" t="str">
        <x:v>crohns_disease</x:v>
      </x:c>
      <x:c r="G40" s="27" t="str">
        <x:v>general_or_unspecified</x:v>
      </x:c>
      <x:c r="H40" s="27" t="str">
        <x:v>CONCLUSION: CDED plus PEN was better tolerated than EEN in children with mild to moderate CD.</x:v>
      </x:c>
      <x:c r="I40" s="27" t="str">
        <x:v>The cited source reports that cDED plus PEN was better tolerated than EEN in children with mild to moderate CD.</x:v>
      </x:c>
      <x:c r="J40" s="27" t="str">
        <x:v>The cited source reports that cDED plus PEN was better tolerated than EEN in children with mild to moderate CD.</x:v>
      </x:c>
      <x:c r="K40" s="27" t="str">
        <x:v>CONCLUSION: CDED plus PEN was better tolerated than EEN in children with mild to moderate CD.</x:v>
      </x:c>
      <x:c r="L40" s="27" t="str"/>
      <x:c r="M40" s="27" t="str">
        <x:v>PubMed abstract — sentence 13</x:v>
      </x:c>
      <x:c r="N40" s="27" t="str">
        <x:v>https://pubmed.ncbi.nlm.nih.gov/31170412/</x:v>
      </x:c>
      <x:c r="O40" s="27" t="str">
        <x:v>ready_for_human_review</x:v>
      </x:c>
      <x:c r="P40" s="27" t="str">
        <x:v>ready_for_final_independent_qa</x:v>
      </x:c>
      <x:c r="Q40" s="27" t="str">
        <x:v>pending_explicit_human_approval</x:v>
      </x:c>
      <x:c r="R40" s="27" t="str">
        <x:v>verified_against_public_abstract</x:v>
      </x:c>
      <x:c r="S40" s="27" t="str"/>
      <x:c r="T40" s="27" t="str">
        <x:v>Automated metadata and passage extraction; full methods and tables require human review. Abstract-only record limits appraisal.</x:v>
      </x:c>
      <x:c r="U40" s="27" t="str">
        <x:v>pending_human_review</x:v>
      </x:c>
      <x:c r="V40" s="30" t="str"/>
      <x:c r="W40" s="30" t="str"/>
      <x:c r="X40" s="30" t="str"/>
    </x:row>
    <x:row r="41" ht="96" customHeight="1">
      <x:c r="A41" s="27" t="str">
        <x:v>CLM-071</x:v>
      </x:c>
      <x:c r="B41" s="27" t="str">
        <x:v>SRC-018</x:v>
      </x:c>
      <x:c r="C41" s="27" t="str"/>
      <x:c r="D41" s="27" t="str">
        <x:v>A Diet Low in Red and Processed Meat Does Not Reduce Rate of Crohn's Disease Flares.</x:v>
      </x:c>
      <x:c r="E41" s="27" t="str">
        <x:v>red_processed_meat</x:v>
      </x:c>
      <x:c r="F41" s="27" t="str">
        <x:v>crohns_disease; ibd_general</x:v>
      </x:c>
      <x:c r="G41" s="27" t="str">
        <x:v>remission</x:v>
      </x:c>
      <x:c r="H41" s="27" t="str">
        <x:v>CONCLUSIONS: In an analysis of data from the FACES trial, we found that among patients with CD in remission, level of red and processed meat consumption was not associated with time to symptomatic relapse.</x:v>
      </x:c>
      <x:c r="I41" s="27" t="str">
        <x:v>The cited source reports that in an analysis of data from the FACES trial, we found that among patients with CD in remission, level of red and processed meat consumption was not associated with time to symptomatic relapse. This is population-level association evidence and does not establish causation or predict an individual's disease course. This is source-attributed information, not a treatment recommendation for an individual.</x:v>
      </x:c>
      <x:c r="J41" s="27" t="str">
        <x:v>The cited source reports that in an analysis of data from the FACES trial, we found that among patients with CD in remission, level of red and processed meat consumption was not associated with time to symptomatic relapse. This is population-level association evidence and does not establish causation or predict an individual's disease course. This is source-attributed information, not a treatment recommendation for an individual.</x:v>
      </x:c>
      <x:c r="K41" s="27" t="str">
        <x:v>CONCLUSIONS: In an analysis of data from the FACES trial, we found that among patients with CD in remission, level of red and processed meat consumption was not associated with time to symptomatic relapse.</x:v>
      </x:c>
      <x:c r="L41" s="27" t="str"/>
      <x:c r="M41" s="27" t="str">
        <x:v>PubMed abstract — sentence 10</x:v>
      </x:c>
      <x:c r="N41" s="27" t="str">
        <x:v>https://pubmed.ncbi.nlm.nih.gov/30872105/</x:v>
      </x:c>
      <x:c r="O41" s="27" t="str">
        <x:v>ready_for_human_review</x:v>
      </x:c>
      <x:c r="P41" s="27" t="str">
        <x:v>ready_for_final_independent_qa</x:v>
      </x:c>
      <x:c r="Q41" s="27" t="str">
        <x:v>pending_explicit_human_approval</x:v>
      </x:c>
      <x:c r="R41" s="27" t="str">
        <x:v>verified_against_public_abstract</x:v>
      </x:c>
      <x:c r="S41" s="27" t="str"/>
      <x:c r="T41" s="27" t="str">
        <x:v>Automated metadata and passage extraction; full methods and tables require human review. Public full text available for deeper review.</x:v>
      </x:c>
      <x:c r="U41" s="27" t="str">
        <x:v>pending_human_review</x:v>
      </x:c>
      <x:c r="V41" s="30" t="str"/>
      <x:c r="W41" s="30" t="str"/>
      <x:c r="X41" s="30" t="str"/>
    </x:row>
    <x:row r="42" ht="96" customHeight="1">
      <x:c r="A42" s="27" t="str">
        <x:v>CLM-073</x:v>
      </x:c>
      <x:c r="B42" s="27" t="str">
        <x:v>SRC-019</x:v>
      </x:c>
      <x:c r="C42" s="27" t="str"/>
      <x:c r="D42" s="27" t="str">
        <x:v>A randomized, 6-wk trial of a low FODMAP diet in patients with inflammatory bowel disease.</x:v>
      </x:c>
      <x:c r="E42" s="27" t="str">
        <x:v>stress_quality_of_life</x:v>
      </x:c>
      <x:c r="F42" s="27" t="str">
        <x:v>ibd_general</x:v>
      </x:c>
      <x:c r="G42" s="27" t="str">
        <x:v>remission</x:v>
      </x:c>
      <x:c r="H42" s="27" t="str">
        <x:v>CONCLUSIONS: A short-term, LFD is safe for patients with IBD, and is associated with an amelioration of fecal inflammatory markers and quality of life even in patients with mainly quiescent disease.</x:v>
      </x:c>
      <x:c r="I42" s="27"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J42" s="27" t="str">
        <x:v>The cited source reports that a short-term, LFD is safe for patients with IBD, and is associated with an amelioration of fecal inflammatory markers and quality of life even in patients with mainly quiescent disease. This is population-level association evidence and does not establish causation or predict an individual's disease course.</x:v>
      </x:c>
      <x:c r="K42" s="27" t="str">
        <x:v>CONCLUSIONS: A short-term, LFD is safe for patients with IBD, and is associated with an amelioration of fecal inflammatory markers and quality of life even in patients with mainly quiescent disease.</x:v>
      </x:c>
      <x:c r="L42" s="27" t="str"/>
      <x:c r="M42" s="27" t="str">
        <x:v>PubMed abstract — sentence 8</x:v>
      </x:c>
      <x:c r="N42" s="27" t="str">
        <x:v>https://pubmed.ncbi.nlm.nih.gov/31470260/</x:v>
      </x:c>
      <x:c r="O42" s="27" t="str">
        <x:v>ready_for_human_review</x:v>
      </x:c>
      <x:c r="P42" s="27" t="str">
        <x:v>ready_for_final_independent_qa</x:v>
      </x:c>
      <x:c r="Q42" s="27" t="str">
        <x:v>pending_explicit_human_approval</x:v>
      </x:c>
      <x:c r="R42" s="27" t="str">
        <x:v>verified_against_public_abstract</x:v>
      </x:c>
      <x:c r="S42" s="27" t="str"/>
      <x:c r="T42" s="27" t="str">
        <x:v>Automated metadata and passage extraction; full methods and tables require human review. Abstract-only record limits appraisal.</x:v>
      </x:c>
      <x:c r="U42" s="27" t="str">
        <x:v>pending_human_review</x:v>
      </x:c>
      <x:c r="V42" s="30" t="str"/>
      <x:c r="W42" s="30" t="str"/>
      <x:c r="X42" s="30" t="str"/>
    </x:row>
    <x:row r="43" ht="96" customHeight="1">
      <x:c r="A43" s="27" t="str">
        <x:v>CLM-074</x:v>
      </x:c>
      <x:c r="B43" s="27" t="str">
        <x:v>SRC-019</x:v>
      </x:c>
      <x:c r="C43" s="27" t="str"/>
      <x:c r="D43" s="27" t="str">
        <x:v>A randomized, 6-wk trial of a low FODMAP diet in patients with inflammatory bowel disease.</x:v>
      </x:c>
      <x:c r="E43" s="27" t="str">
        <x:v>core_condition_knowledge</x:v>
      </x:c>
      <x:c r="F43" s="27" t="str">
        <x:v>ibd_general</x:v>
      </x:c>
      <x:c r="G43" s="27" t="str">
        <x:v>general_or_unspecified</x:v>
      </x:c>
      <x:c r="H43" s="27" t="str">
        <x:v>RESULTS: After the 6-wk dietary intervention, median HBi decreased in the LFD (4; IQR, 3-5 versus 3; IQR, 2-3; P = 0.024) but not in the SD (3; IQR, 3-3 versus 3; IQR, 2-4), whereas Mayo scores were numerically decreased in the LFD group and unmodified in the SD group.</x:v>
      </x:c>
      <x:c r="I43" s="27"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J43" s="27" t="str">
        <x:v>The cited source reports that after the 6-wk dietary intervention, median HBi decreased in the LFD (4; IQR, 3-5 versus 3; IQR, 2-3; P = 0.024) but not in the SD (3; IQR, 3-3 versus 3; IQR, 2-4), whereas Mayo scores were numerically decreased in the LFD group and unmodified in the SD group. This is source-attributed information, not a treatment recommendation for an individual.</x:v>
      </x:c>
      <x:c r="K43" s="27" t="str">
        <x:v>RESULTS: After the 6-wk dietary intervention, median HBi decreased in the LFD (4; IQR, 3-5 versus 3; IQR, 2-3; P = 0.024) but not in the SD (3; IQR, 3-3 versus 3; IQR, 2-4), whereas Mayo scores were numerically decreased in the LFD group and unmodified in the SD group.</x:v>
      </x:c>
      <x:c r="L43" s="27" t="str"/>
      <x:c r="M43" s="27" t="str">
        <x:v>PubMed abstract — sentence 5</x:v>
      </x:c>
      <x:c r="N43" s="27" t="str">
        <x:v>https://pubmed.ncbi.nlm.nih.gov/31470260/</x:v>
      </x:c>
      <x:c r="O43" s="27" t="str">
        <x:v>ready_for_human_review</x:v>
      </x:c>
      <x:c r="P43" s="27" t="str">
        <x:v>ready_for_final_independent_qa</x:v>
      </x:c>
      <x:c r="Q43" s="27" t="str">
        <x:v>pending_explicit_human_approval</x:v>
      </x:c>
      <x:c r="R43" s="27" t="str">
        <x:v>verified_against_public_abstract</x:v>
      </x:c>
      <x:c r="S43" s="27" t="str"/>
      <x:c r="T43" s="27" t="str">
        <x:v>Automated metadata and passage extraction; full methods and tables require human review. Abstract-only record limits appraisal.</x:v>
      </x:c>
      <x:c r="U43" s="27" t="str">
        <x:v>pending_human_review</x:v>
      </x:c>
      <x:c r="V43" s="30" t="str"/>
      <x:c r="W43" s="30" t="str"/>
      <x:c r="X43" s="30" t="str"/>
    </x:row>
    <x:row r="44" ht="96" customHeight="1">
      <x:c r="A44" s="27" t="str">
        <x:v>CLM-077</x:v>
      </x:c>
      <x:c r="B44" s="27" t="str">
        <x:v>SRC-020</x:v>
      </x:c>
      <x:c r="C44" s="27" t="str"/>
      <x:c r="D44" s="27" t="str">
        <x:v>Association of ultra-processed food intake with risk of inflammatory bowel disease: prospective cohort study.</x:v>
      </x:c>
      <x:c r="E44" s="27" t="str">
        <x:v>ultra_processed</x:v>
      </x:c>
      <x:c r="F44" s="27" t="str">
        <x:v>ibd_general</x:v>
      </x:c>
      <x:c r="G44" s="27" t="str">
        <x:v>general_or_unspecified</x:v>
      </x:c>
      <x:c r="H44"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I44" s="27"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J44" s="27" t="str">
        <x:v>The cited source reports that 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 This is population-level association evidence and does not establish causation or predict an individual's disease course.</x:v>
      </x:c>
      <x:c r="K44" s="27" t="str">
        <x:v>After adjustment for potential confounding factors, higher intake of ultra-processed food was associated with a higher risk of incident IBD (hazard ratio 1.82, 95% confidence interval 1.22 to 2.72 for ≥5 servings/day and 1.67, 1.18 to 2.37 for 1-4 servings/day compared with &lt;1 serving/day, P=0.006 for trend).</x:v>
      </x:c>
      <x:c r="L44" s="27" t="str"/>
      <x:c r="M44" s="27" t="str">
        <x:v>PubMed abstract — sentence 11</x:v>
      </x:c>
      <x:c r="N44" s="27" t="str">
        <x:v>https://pubmed.ncbi.nlm.nih.gov/34261638/</x:v>
      </x:c>
      <x:c r="O44" s="27" t="str">
        <x:v>ready_for_human_review</x:v>
      </x:c>
      <x:c r="P44" s="27" t="str">
        <x:v>ready_for_final_independent_qa</x:v>
      </x:c>
      <x:c r="Q44" s="27" t="str">
        <x:v>pending_explicit_human_approval</x:v>
      </x:c>
      <x:c r="R44" s="27" t="str">
        <x:v>verified_against_public_abstract</x:v>
      </x:c>
      <x:c r="S44" s="27" t="str"/>
      <x:c r="T44" s="27" t="str">
        <x:v>Automated metadata and passage extraction; full methods and tables require human review. Public full text available for deeper review.</x:v>
      </x:c>
      <x:c r="U44" s="27" t="str">
        <x:v>pending_human_review</x:v>
      </x:c>
      <x:c r="V44" s="30" t="str"/>
      <x:c r="W44" s="30" t="str"/>
      <x:c r="X44" s="30" t="str"/>
    </x:row>
    <x:row r="45" ht="96" customHeight="1">
      <x:c r="A45" s="27" t="str">
        <x:v>CLM-078</x:v>
      </x:c>
      <x:c r="B45" s="27" t="str">
        <x:v>SRC-020</x:v>
      </x:c>
      <x:c r="C45" s="27" t="str"/>
      <x:c r="D45" s="27" t="str">
        <x:v>Association of ultra-processed food intake with risk of inflammatory bowel disease: prospective cohort study.</x:v>
      </x:c>
      <x:c r="E45" s="27" t="str">
        <x:v>ultra_processed</x:v>
      </x:c>
      <x:c r="F45" s="27" t="str">
        <x:v>ibd_general</x:v>
      </x:c>
      <x:c r="G45" s="27" t="str">
        <x:v>general_or_unspecified</x:v>
      </x:c>
      <x:c r="H45" s="27" t="str">
        <x:v>Different subgroups of ultra-processed food, including soft drinks, refined sweetened foods, salty snacks, and processed meat, each were associated with higher hazard ratios for IBD.</x:v>
      </x:c>
      <x:c r="I45" s="27"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J45" s="27" t="str">
        <x:v>The cited source reports that different subgroups of ultra-processed food, including soft drinks, refined sweetened foods, salty snacks, and processed meat, each were associated with higher hazard ratios for IBD. This is population-level association evidence and does not establish causation or predict an individual's disease course.</x:v>
      </x:c>
      <x:c r="K45" s="27" t="str">
        <x:v>Different subgroups of ultra-processed food, including soft drinks, refined sweetened foods, salty snacks, and processed meat, each were associated with higher hazard ratios for IBD.</x:v>
      </x:c>
      <x:c r="L45" s="27" t="str"/>
      <x:c r="M45" s="27" t="str">
        <x:v>PubMed abstract — sentence 12</x:v>
      </x:c>
      <x:c r="N45" s="27" t="str">
        <x:v>https://pubmed.ncbi.nlm.nih.gov/34261638/</x:v>
      </x:c>
      <x:c r="O45" s="27" t="str">
        <x:v>ready_for_human_review</x:v>
      </x:c>
      <x:c r="P45" s="27" t="str">
        <x:v>ready_for_final_independent_qa</x:v>
      </x:c>
      <x:c r="Q45" s="27" t="str">
        <x:v>pending_explicit_human_approval</x:v>
      </x:c>
      <x:c r="R45" s="27" t="str">
        <x:v>verified_against_public_abstract</x:v>
      </x:c>
      <x:c r="S45" s="27" t="str"/>
      <x:c r="T45" s="27" t="str">
        <x:v>Automated metadata and passage extraction; full methods and tables require human review. Public full text available for deeper review.</x:v>
      </x:c>
      <x:c r="U45" s="27" t="str">
        <x:v>pending_human_review</x:v>
      </x:c>
      <x:c r="V45" s="30" t="str"/>
      <x:c r="W45" s="30" t="str"/>
      <x:c r="X45" s="30" t="str"/>
    </x:row>
    <x:row r="46" ht="96" customHeight="1">
      <x:c r="A46" s="27" t="str">
        <x:v>CLM-079</x:v>
      </x:c>
      <x:c r="B46" s="27" t="str">
        <x:v>SRC-020</x:v>
      </x:c>
      <x:c r="C46" s="27" t="str"/>
      <x:c r="D46" s="27" t="str">
        <x:v>Association of ultra-processed food intake with risk of inflammatory bowel disease: prospective cohort study.</x:v>
      </x:c>
      <x:c r="E46" s="27" t="str">
        <x:v>dairy_lactose</x:v>
      </x:c>
      <x:c r="F46" s="27" t="str">
        <x:v>ibd_general</x:v>
      </x:c>
      <x:c r="G46" s="27" t="str">
        <x:v>general_or_unspecified</x:v>
      </x:c>
      <x:c r="H46" s="27" t="str">
        <x:v>Intakes of white meat, red meat, dairy, starch, and fruit, vegetables, and legumes were not associated with incident IBD.</x:v>
      </x:c>
      <x:c r="I46" s="27"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J46" s="27" t="str">
        <x:v>The cited source reports that intakes of white meat, red meat, dairy, starch, and fruit, vegetables, and legumes were not associated with incident IBD. This is population-level association evidence and does not establish causation or predict an individual's disease course.</x:v>
      </x:c>
      <x:c r="K46" s="27" t="str">
        <x:v>Intakes of white meat, red meat, dairy, starch, and fruit, vegetables, and legumes were not associated with incident IBD.</x:v>
      </x:c>
      <x:c r="L46" s="27" t="str"/>
      <x:c r="M46" s="27" t="str">
        <x:v>PubMed abstract — sentence 14</x:v>
      </x:c>
      <x:c r="N46" s="27" t="str">
        <x:v>https://pubmed.ncbi.nlm.nih.gov/34261638/</x:v>
      </x:c>
      <x:c r="O46" s="27" t="str">
        <x:v>ready_for_human_review</x:v>
      </x:c>
      <x:c r="P46" s="27" t="str">
        <x:v>ready_for_final_independent_qa</x:v>
      </x:c>
      <x:c r="Q46" s="27" t="str">
        <x:v>pending_explicit_human_approval</x:v>
      </x:c>
      <x:c r="R46" s="27" t="str">
        <x:v>verified_against_public_abstract</x:v>
      </x:c>
      <x:c r="S46" s="27" t="str"/>
      <x:c r="T46" s="27" t="str">
        <x:v>Automated metadata and passage extraction; full methods and tables require human review. Public full text available for deeper review.</x:v>
      </x:c>
      <x:c r="U46" s="27" t="str">
        <x:v>pending_human_review</x:v>
      </x:c>
      <x:c r="V46" s="30" t="str"/>
      <x:c r="W46" s="30" t="str"/>
      <x:c r="X46" s="30" t="str"/>
    </x:row>
    <x:row r="47" ht="96" customHeight="1">
      <x:c r="A47" s="27" t="str">
        <x:v>CLM-080</x:v>
      </x:c>
      <x:c r="B47" s="27" t="str">
        <x:v>SRC-020</x:v>
      </x:c>
      <x:c r="C47" s="27" t="str"/>
      <x:c r="D47" s="27" t="str">
        <x:v>Association of ultra-processed food intake with risk of inflammatory bowel disease: prospective cohort study.</x:v>
      </x:c>
      <x:c r="E47" s="27" t="str">
        <x:v>ultra_processed</x:v>
      </x:c>
      <x:c r="F47" s="27" t="str">
        <x:v>ibd_general</x:v>
      </x:c>
      <x:c r="G47" s="27" t="str">
        <x:v>general_or_unspecified</x:v>
      </x:c>
      <x:c r="H47" s="27" t="str">
        <x:v>CONCLUSIONS: Higher intake of ultra-processed food was positively associated with risk of IBD.</x:v>
      </x:c>
      <x:c r="I47" s="27" t="str">
        <x:v>The cited source reports that higher intake of ultra-processed food was positively associated with risk of IBD. This is population-level association evidence and does not establish causation or predict an individual's disease course.</x:v>
      </x:c>
      <x:c r="J47" s="27" t="str">
        <x:v>The cited source reports that higher intake of ultra-processed food was positively associated with risk of IBD. This is population-level association evidence and does not establish causation or predict an individual's disease course.</x:v>
      </x:c>
      <x:c r="K47" s="27" t="str">
        <x:v>CONCLUSIONS: Higher intake of ultra-processed food was positively associated with risk of IBD.</x:v>
      </x:c>
      <x:c r="L47" s="27" t="str"/>
      <x:c r="M47" s="27" t="str">
        <x:v>PubMed abstract — sentence 15</x:v>
      </x:c>
      <x:c r="N47" s="27" t="str">
        <x:v>https://pubmed.ncbi.nlm.nih.gov/34261638/</x:v>
      </x:c>
      <x:c r="O47" s="27" t="str">
        <x:v>ready_for_human_review</x:v>
      </x:c>
      <x:c r="P47" s="27" t="str">
        <x:v>ready_for_final_independent_qa</x:v>
      </x:c>
      <x:c r="Q47" s="27" t="str">
        <x:v>pending_explicit_human_approval</x:v>
      </x:c>
      <x:c r="R47" s="27" t="str">
        <x:v>verified_against_public_abstract</x:v>
      </x:c>
      <x:c r="S47" s="27" t="str"/>
      <x:c r="T47" s="27" t="str">
        <x:v>Automated metadata and passage extraction; full methods and tables require human review. Public full text available for deeper review.</x:v>
      </x:c>
      <x:c r="U47" s="27" t="str">
        <x:v>pending_human_review</x:v>
      </x:c>
      <x:c r="V47" s="30" t="str"/>
      <x:c r="W47" s="30" t="str"/>
      <x:c r="X47" s="30" t="str"/>
    </x:row>
    <x:row r="48" ht="96" customHeight="1">
      <x:c r="A48" s="27" t="str">
        <x:v>CLM-081</x:v>
      </x:c>
      <x:c r="B48" s="27" t="str">
        <x:v>SRC-021</x:v>
      </x:c>
      <x:c r="C48" s="27" t="str"/>
      <x:c r="D48" s="27" t="str">
        <x:v>European Crohn’s and Colitis Organisation consensus on dietary management of inflammatory bowel disease</x:v>
      </x:c>
      <x:c r="E48" s="27" t="str">
        <x:v>core_condition_knowledge</x:v>
      </x:c>
      <x:c r="F48" s="27" t="str">
        <x:v>ulcerative_colitis; crohns_disease; ibd_general</x:v>
      </x:c>
      <x:c r="G48" s="27" t="str">
        <x:v>general_or_unspecified</x:v>
      </x:c>
      <x:c r="H48" s="27" t="str">
        <x:v>In the absence of a specific dietary intervention that is recommended by an IBD healthcare professional, healthy eating guidelines should be followed by people with IBD, as recommended for the general population.</x:v>
      </x:c>
      <x:c r="I48" s="27"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J48" s="27" t="str">
        <x:v>The cited source reports that in the absence of a specific dietary intervention that is recommended by an IBD healthcare professional, healthy eating guidelines should be followed by people with IBD, as recommended for the general population. This is source-attributed information, not a treatment recommendation for an individual.</x:v>
      </x:c>
      <x:c r="K48" s="27" t="str">
        <x:v>In the absence of a specific dietary intervention that is recommended by an IBD healthcare professional, healthy eating guidelines should be followed by people with IBD, as recommended for the general population.</x:v>
      </x:c>
      <x:c r="L48" s="27" t="str">
        <x:v>Statement 1: In the absence of a specific dietary intervention that is recommended by an IBD healthcare professional, healthy eating guidelines should be followed by people with IBD, as recommended for the general population. (EL5) (Consensus: 100%)</x:v>
      </x:c>
      <x:c r="M48" s="27" t="str">
        <x:v>Official ECCO consensus article — Section 3, "Translation and execution of dietary management"; Statement 1; paragraph beginning "Statement 1: In the absence of a specific dietary intervention..."</x:v>
      </x:c>
      <x:c r="N48" s="27" t="str">
        <x:v>https://academic.oup.com/ecco-jcc/article/19/9/jjaf122/8198055</x:v>
      </x:c>
      <x:c r="O48" s="27" t="str">
        <x:v>ready_for_human_review</x:v>
      </x:c>
      <x:c r="P48" s="27" t="str">
        <x:v>ready_for_final_independent_qa</x:v>
      </x:c>
      <x:c r="Q48" s="27" t="str">
        <x:v>pending_explicit_human_approval</x:v>
      </x:c>
      <x:c r="R48" s="27" t="str">
        <x:v>direct_support_verified_official_ecco_article</x:v>
      </x:c>
      <x:c r="S48" s="27" t="str">
        <x:v>Replaced false Abstract locator with Section 3, Statement 1. Claim wording unchanged.</x:v>
      </x:c>
      <x:c r="T48" s="27" t="str">
        <x:v>Patient information is explanatory, not a substitute for clinical evidence or individualized care.</x:v>
      </x:c>
      <x:c r="U48" s="27" t="str">
        <x:v>pending_human_review</x:v>
      </x:c>
      <x:c r="V48" s="30" t="str"/>
      <x:c r="W48" s="30" t="str"/>
      <x:c r="X48" s="30" t="str"/>
    </x:row>
    <x:row r="49" ht="96" customHeight="1">
      <x:c r="A49" s="27" t="str">
        <x:v>CLM-082</x:v>
      </x:c>
      <x:c r="B49" s="27" t="str">
        <x:v>SRC-021</x:v>
      </x:c>
      <x:c r="C49" s="27" t="str"/>
      <x:c r="D49" s="27" t="str">
        <x:v>European Crohn’s and Colitis Organisation consensus on dietary management of inflammatory bowel disease</x:v>
      </x:c>
      <x:c r="E49" s="27" t="str">
        <x:v>core_condition_knowledge</x:v>
      </x:c>
      <x:c r="F49" s="27" t="str">
        <x:v>ulcerative_colitis; crohns_disease; ibd_general</x:v>
      </x:c>
      <x:c r="G49" s="27" t="str">
        <x:v>general_or_unspecified</x:v>
      </x:c>
      <x:c r="H49" s="27" t="str">
        <x:v>Most evidence for dietary interventions was of low quality, with few studies measuring endoscopic, radiological, or biochemical endpoints or durability of response.</x:v>
      </x:c>
      <x:c r="I49" s="27" t="str">
        <x:v>The cited source reports that most evidence for dietary interventions was of low quality, with few studies measuring endoscopic, radiological, or biochemical endpoints or durability of response. This is source-attributed information, not a treatment recommendation for an individual.</x:v>
      </x:c>
      <x:c r="J49" s="27" t="str">
        <x:v>The cited source reports that most evidence for dietary interventions was of low quality, with few studies measuring endoscopic, radiological, or biochemical endpoints or durability of response. This is source-attributed information, not a treatment recommendation for an individual.</x:v>
      </x:c>
      <x:c r="K49" s="27" t="str">
        <x:v>Most evidence for dietary interventions was of low quality, with few studies measuring endoscopic, radiological, or biochemical endpoints or durability of response.</x:v>
      </x:c>
      <x:c r="L49" s="27" t="str">
        <x:v>Most evidence for dietary interventions was of low quality, with few studies measuring endoscopic, radiological, or biochemical end points or durability of response.</x:v>
      </x:c>
      <x:c r="M49" s="27" t="str">
        <x:v>Official ECCO consensus article — Section 4.1, "Dietary therapy to induce and maintain remission of IBD"; opening paragraph; sentence beginning "Most evidence for dietary interventions..."</x:v>
      </x:c>
      <x:c r="N49" s="27" t="str">
        <x:v>https://academic.oup.com/ecco-jcc/article/19/9/jjaf122/8198055</x:v>
      </x:c>
      <x:c r="O49" s="27" t="str">
        <x:v>ready_for_human_review</x:v>
      </x:c>
      <x:c r="P49" s="27" t="str">
        <x:v>ready_for_final_independent_qa</x:v>
      </x:c>
      <x:c r="Q49" s="27" t="str">
        <x:v>pending_explicit_human_approval</x:v>
      </x:c>
      <x:c r="R49" s="27" t="str">
        <x:v>direct_support_verified_official_ecco_article</x:v>
      </x:c>
      <x:c r="S49" s="27" t="str">
        <x:v>Replaced false Abstract locator with Section 4.1 opening paragraph. Claim wording unchanged.</x:v>
      </x:c>
      <x:c r="T49" s="27" t="str">
        <x:v>Patient information is explanatory, not a substitute for clinical evidence or individualized care.</x:v>
      </x:c>
      <x:c r="U49" s="27" t="str">
        <x:v>pending_human_review</x:v>
      </x:c>
      <x:c r="V49" s="30" t="str"/>
      <x:c r="W49" s="30" t="str"/>
      <x:c r="X49" s="30" t="str"/>
    </x:row>
    <x:row r="50" ht="96" customHeight="1">
      <x:c r="A50" s="27" t="str">
        <x:v>CLM-083</x:v>
      </x:c>
      <x:c r="B50" s="27" t="str">
        <x:v>SRC-021</x:v>
      </x:c>
      <x:c r="C50" s="27" t="str"/>
      <x:c r="D50" s="27" t="str">
        <x:v>European Crohn’s and Colitis Organisation consensus on dietary management of inflammatory bowel disease</x:v>
      </x:c>
      <x:c r="E50" s="27" t="str">
        <x:v>fibre</x:v>
      </x:c>
      <x:c r="F50" s="27" t="str">
        <x:v>ulcerative_colitis; crohns_disease; ibd_general</x:v>
      </x:c>
      <x:c r="G50" s="27" t="str">
        <x:v>stricture_or_obstruction_risk</x:v>
      </x:c>
      <x:c r="H50" s="27" t="str">
        <x:v>A modified or low-fiber diet may reduce obstruction risk in people with stricturing Crohn's disease.</x:v>
      </x:c>
      <x:c r="I50" s="27" t="str">
        <x:v>The cited source reports that a modified or low-fiber diet may reduce obstruction risk in people with stricturing Crohn's disease. This is population-level association evidence and does not establish causation or predict an individual's disease course.</x:v>
      </x:c>
      <x:c r="J50" s="27" t="str">
        <x:v>The ECCO consensus states that no data support a modified or low-fiber diet to manage stricturing Crohn’s disease; based on mechanism-based reasoning, a low-bulking-fiber diet in people with stricturing Crohn’s disease and obstructive symptoms might reduce the risk of intestinal obstruction. This is source-attributed guidance, not individualized treatment advice.</x:v>
      </x:c>
      <x:c r="K50" s="27" t="str">
        <x:v>A modified or low-fiber diet may reduce obstruction risk in people with stricturing Crohn's disease.</x:v>
      </x:c>
      <x:c r="L50" s="27" t="str">
        <x:v>Statement 21.1: While there are no data supporting a modified or low-fiber diet to manage stricturing Crohn’s disease (CD), mechanism-based reasoning suggests that a diet low in bulking fiber in people with stricturing CD and obstructive symptoms might reduce the risk of developing intestinal obstruction. (EL5) (Consensus: 100%)</x:v>
      </x:c>
      <x:c r="M50" s="27" t="str">
        <x:v>Official ECCO consensus article — Section 4.3.2, "Strictures"; Statement 21.1, paragraph 1; paragraph beginning "Statement 21.1: While there are no data supporting..."</x:v>
      </x:c>
      <x:c r="N50" s="27" t="str">
        <x:v>https://academic.oup.com/ecco-jcc/article/19/9/jjaf122/8198055</x:v>
      </x:c>
      <x:c r="O50" s="27" t="str">
        <x:v>ready_for_human_review</x:v>
      </x:c>
      <x:c r="P50" s="27" t="str">
        <x:v>ready_for_final_independent_qa</x:v>
      </x:c>
      <x:c r="Q50" s="27" t="str">
        <x:v>pending_explicit_human_approval</x:v>
      </x:c>
      <x:c r="R50" s="27" t="str">
        <x:v>direct_support_verified_official_ecco_article</x:v>
      </x:c>
      <x:c r="S50" s="27" t="str">
        <x:v>Replaced false Abstract locator with Section 4.3.2, Statement 21.1. Narrowed the claim to preserve the no-data, mechanism-based, and obstructive-symptom limitations.</x:v>
      </x:c>
      <x:c r="T50" s="27" t="str">
        <x:v>Patient information is explanatory, not a substitute for clinical evidence or individualized care.</x:v>
      </x:c>
      <x:c r="U50" s="27" t="str">
        <x:v>pending_human_review</x:v>
      </x:c>
      <x:c r="V50" s="30" t="str"/>
      <x:c r="W50" s="30" t="str"/>
      <x:c r="X50" s="30" t="str"/>
    </x:row>
    <x:row r="51" ht="96" customHeight="1">
      <x:c r="A51" s="27" t="str">
        <x:v>CLM-084</x:v>
      </x:c>
      <x:c r="B51" s="27" t="str">
        <x:v>SRC-022</x:v>
      </x:c>
      <x:c r="C51" s="27" t="str"/>
      <x:c r="D51" s="27" t="str">
        <x:v>ECCO Guidelines on Therapeutics in Crohn’s Disease: Medical Treatment</x:v>
      </x:c>
      <x:c r="E51" s="27" t="str">
        <x:v>core_condition_knowledge</x:v>
      </x:c>
      <x:c r="F51" s="27" t="str">
        <x:v>crohns_disease</x:v>
      </x:c>
      <x:c r="G51" s="27" t="str">
        <x:v>general_or_unspecified</x:v>
      </x:c>
      <x:c r="H51" s="27" t="str">
        <x:v>There is emerging evidence that dietary therapies may be beneficial in reducing the inflammatory burden in Crohn's disease.</x:v>
      </x:c>
      <x:c r="I51" s="27" t="str">
        <x:v>The cited source reports that there is emerging evidence that dietary therapies may be beneficial in reducing the inflammatory burden in Crohn's disease.</x:v>
      </x:c>
      <x:c r="J51" s="27" t="str">
        <x:v>The cited source reports that there is emerging evidence that dietary therapies may be beneficial in reducing the inflammatory burden in Crohn's disease.</x:v>
      </x:c>
      <x:c r="K51" s="27" t="str">
        <x:v>There is emerging evidence that dietary therapies may be beneficial in reducing the inflammatory burden in Crohn's disease.</x:v>
      </x:c>
      <x:c r="L51" s="27" t="str">
        <x:v>Practice Point 2A. There is emerging evidence that dietary therapies may be beneficial in reducing the inflammatory burden in CD.</x:v>
      </x:c>
      <x:c r="M51" s="27" t="str">
        <x:v>Official ECCO guideline article — Section 3.8.2.1, "Dietary therapy for the induction of remission in CD"; Practice Point 2A, sentence 1</x:v>
      </x:c>
      <x:c r="N51" s="27" t="str">
        <x:v>https://academic.oup.com/ecco-jcc/article/18/10/1531/7693895</x:v>
      </x:c>
      <x:c r="O51" s="27" t="str">
        <x:v>ready_for_human_review</x:v>
      </x:c>
      <x:c r="P51" s="27" t="str">
        <x:v>ready_for_final_independent_qa</x:v>
      </x:c>
      <x:c r="Q51" s="27" t="str">
        <x:v>pending_explicit_human_approval</x:v>
      </x:c>
      <x:c r="R51" s="27" t="str">
        <x:v>direct_support_verified_official_ecco_article</x:v>
      </x:c>
      <x:c r="S51" s="27" t="str">
        <x:v>Replaced false Abstract locator with Section 3.8.2.1, Practice Point 2A, sentence 1.</x:v>
      </x:c>
      <x:c r="T51" s="27" t="str">
        <x:v>Patient information is explanatory, not a substitute for clinical evidence or individualized care.</x:v>
      </x:c>
      <x:c r="U51" s="27" t="str">
        <x:v>pending_human_review</x:v>
      </x:c>
      <x:c r="V51" s="30" t="str"/>
      <x:c r="W51" s="30" t="str"/>
      <x:c r="X51" s="30" t="str"/>
    </x:row>
    <x:row r="52" ht="96" customHeight="1">
      <x:c r="A52" s="27" t="str">
        <x:v>CLM-085</x:v>
      </x:c>
      <x:c r="B52" s="27" t="str">
        <x:v>SRC-022</x:v>
      </x:c>
      <x:c r="C52" s="27" t="str"/>
      <x:c r="D52" s="27" t="str">
        <x:v>ECCO Guidelines on Therapeutics in Crohn’s Disease: Medical Treatment</x:v>
      </x:c>
      <x:c r="E52" s="27" t="str">
        <x:v>core_condition_knowledge</x:v>
      </x:c>
      <x:c r="F52" s="27" t="str">
        <x:v>crohns_disease</x:v>
      </x:c>
      <x:c r="G52" s="27" t="str">
        <x:v>general_or_unspecified</x:v>
      </x:c>
      <x:c r="H52" s="27" t="str">
        <x:v>Dietary intervention should be considered based on disease activity, patient motivation, current evidence, and availability of dietetic support.</x:v>
      </x:c>
      <x:c r="I52" s="27" t="str">
        <x:v>The cited source reports that dietary intervention should be considered based on disease activity, patient motivation, current evidence, and availability of dietetic support. This is source-attributed information, not a treatment recommendation for an individual.</x:v>
      </x:c>
      <x:c r="J52" s="27" t="str">
        <x:v>The cited source reports that dietary intervention should be considered based on disease activity, patient motivation, current evidence, and availability of dietetic support. This is source-attributed information, not a treatment recommendation for an individual.</x:v>
      </x:c>
      <x:c r="K52" s="27" t="str">
        <x:v>Dietary intervention should be considered based on disease activity, patient motivation, current evidence, and availability of dietetic support.</x:v>
      </x:c>
      <x:c r="L52" s="27" t="str">
        <x:v>Dietary intervention should primarily be considered based on disease activity, the patient’s motivation, the current evidence, and the availability of dietetic support.</x:v>
      </x:c>
      <x:c r="M52" s="27" t="str">
        <x:v>Official ECCO guideline article — Section 3.8.2.1, "Dietary therapy for the induction of remission in CD"; Practice Point 2A, sentence 3</x:v>
      </x:c>
      <x:c r="N52" s="27" t="str">
        <x:v>https://academic.oup.com/ecco-jcc/article/18/10/1531/7693895</x:v>
      </x:c>
      <x:c r="O52" s="27" t="str">
        <x:v>ready_for_human_review</x:v>
      </x:c>
      <x:c r="P52" s="27" t="str">
        <x:v>ready_for_final_independent_qa</x:v>
      </x:c>
      <x:c r="Q52" s="27" t="str">
        <x:v>pending_explicit_human_approval</x:v>
      </x:c>
      <x:c r="R52" s="27" t="str">
        <x:v>direct_support_verified_official_ecco_article</x:v>
      </x:c>
      <x:c r="S52" s="27" t="str">
        <x:v>Replaced false Abstract locator with Section 3.8.2.1, Practice Point 2A, sentence 3.</x:v>
      </x:c>
      <x:c r="T52" s="27" t="str">
        <x:v>Patient information is explanatory, not a substitute for clinical evidence or individualized care.</x:v>
      </x:c>
      <x:c r="U52" s="27" t="str">
        <x:v>pending_human_review</x:v>
      </x:c>
      <x:c r="V52" s="30" t="str"/>
      <x:c r="W52" s="30" t="str"/>
      <x:c r="X52" s="30" t="str"/>
    </x:row>
    <x:row r="53" ht="96" customHeight="1">
      <x:c r="A53" s="27" t="str">
        <x:v>CLM-086</x:v>
      </x:c>
      <x:c r="B53" s="27" t="str">
        <x:v>SRC-022</x:v>
      </x:c>
      <x:c r="C53" s="27" t="str"/>
      <x:c r="D53" s="27" t="str">
        <x:v>ECCO Guidelines on Therapeutics in Crohn’s Disease: Medical Treatment</x:v>
      </x:c>
      <x:c r="E53" s="27" t="str">
        <x:v>enteral_nutrition</x:v>
      </x:c>
      <x:c r="F53" s="27" t="str">
        <x:v>crohns_disease</x:v>
      </x:c>
      <x:c r="G53" s="27" t="str">
        <x:v>remission</x:v>
      </x:c>
      <x:c r="H53" s="27" t="str">
        <x:v>Partial enteral nutrition might be considered for maintaining remission in a subset of patients who can tolerate formula with routine monitoring.</x:v>
      </x:c>
      <x:c r="I53" s="27" t="str">
        <x:v>The cited source reports that partial enteral nutrition might be considered for maintaining remission in a subset of patients who can tolerate formula with routine monitoring. This is source-attributed information, not a treatment recommendation for an individual.</x:v>
      </x:c>
      <x:c r="J53" s="27" t="str">
        <x:v>The cited source reports that partial enteral nutrition might be considered for maintaining remission in a subset of patients who can tolerate formula with routine monitoring. This is source-attributed information, not a treatment recommendation for an individual.</x:v>
      </x:c>
      <x:c r="K53" s="27" t="str">
        <x:v>Partial enteral nutrition might be considered for maintaining remission in a subset of patients who can tolerate formula with routine monitoring.</x:v>
      </x:c>
      <x:c r="L53" s="27" t="str">
        <x:v>Practice Point 2B. Partial enteral nutrition might be considered as a strategy for maintaining remission, with or without additional medication, in a subset of patients who are willing and able to tolerate the formula with routine monitoring. [Consensus: 100%]</x:v>
      </x:c>
      <x:c r="M53" s="27" t="str">
        <x:v>Official ECCO guideline article — Section 3.8.2.2, "Dietary therapy for the maintenance of remission in CD"; Practice Point 2B, sentence 1</x:v>
      </x:c>
      <x:c r="N53" s="27" t="str">
        <x:v>https://academic.oup.com/ecco-jcc/article/18/10/1531/7693895</x:v>
      </x:c>
      <x:c r="O53" s="27" t="str">
        <x:v>ready_for_human_review</x:v>
      </x:c>
      <x:c r="P53" s="27" t="str">
        <x:v>ready_for_final_independent_qa</x:v>
      </x:c>
      <x:c r="Q53" s="27" t="str">
        <x:v>pending_explicit_human_approval</x:v>
      </x:c>
      <x:c r="R53" s="27" t="str">
        <x:v>direct_support_verified_official_ecco_article</x:v>
      </x:c>
      <x:c r="S53" s="27" t="str">
        <x:v>Replaced false Abstract locator with Section 3.8.2.2, Practice Point 2B, sentence 1.</x:v>
      </x:c>
      <x:c r="T53" s="27" t="str">
        <x:v>Patient information is explanatory, not a substitute for clinical evidence or individualized care.</x:v>
      </x:c>
      <x:c r="U53" s="27" t="str">
        <x:v>pending_human_review</x:v>
      </x:c>
      <x:c r="V53" s="30" t="str"/>
      <x:c r="W53" s="30" t="str"/>
      <x:c r="X53" s="30" t="str"/>
    </x:row>
    <x:row r="54" ht="96" customHeight="1">
      <x:c r="A54" s="27" t="str">
        <x:v>CLM-087</x:v>
      </x:c>
      <x:c r="B54" s="27" t="str">
        <x:v>SRC-023</x:v>
      </x:c>
      <x:c r="C54" s="27" t="str"/>
      <x:c r="D54" s="27" t="str">
        <x:v>Eating, Diet, &amp; Nutrition for Crohn’s Disease</x:v>
      </x:c>
      <x:c r="E54" s="27" t="str">
        <x:v>symptoms_vs_inflammation</x:v>
      </x:c>
      <x:c r="F54" s="27" t="str">
        <x:v>crohns_disease</x:v>
      </x:c>
      <x:c r="G54" s="27" t="str">
        <x:v>general_or_unspecified</x:v>
      </x:c>
      <x:c r="H54" s="27" t="str">
        <x:v>Depending on your symptoms and the medicines you take, your doctor may recommend changes to what you eat and drink.</x:v>
      </x:c>
      <x:c r="I54" s="27" t="str"/>
      <x:c r="J54" s="27" t="str">
        <x:v>Depending on your symptoms and the medicines you take, your doctor may recommend changes to what you eat and drink.</x:v>
      </x:c>
      <x:c r="K54" s="27" t="str">
        <x:v>Depending on your symptoms and the medicines you take, your doctor may recommend changes to what you eat and drink.</x:v>
      </x:c>
      <x:c r="L54" s="27" t="str"/>
      <x:c r="M54" s="27" t="str">
        <x:v>Official NIDDK webpage — heading "Eating, Diet, &amp; Nutrition for Crohn’s Disease"; paragraph containing the cited excerpt</x:v>
      </x:c>
      <x:c r="N54" s="27" t="str">
        <x:v>https://www.niddk.nih.gov/health-information/digestive-diseases/crohns-disease/eating-diet-nutrition</x:v>
      </x:c>
      <x:c r="O54" s="27" t="str">
        <x:v>ready_for_human_review</x:v>
      </x:c>
      <x:c r="P54" s="27" t="str">
        <x:v>ready_for_final_independent_qa</x:v>
      </x:c>
      <x:c r="Q54" s="27" t="str">
        <x:v>pending_explicit_human_approval</x:v>
      </x:c>
      <x:c r="R54" s="27" t="str">
        <x:v>verified_against_authoritative_public_page</x:v>
      </x:c>
      <x:c r="S54" s="27" t="str"/>
      <x:c r="T54" s="27" t="str">
        <x:v>Patient information is explanatory, not a substitute for clinical evidence or individualized care.</x:v>
      </x:c>
      <x:c r="U54" s="27" t="str">
        <x:v>pending_human_review</x:v>
      </x:c>
      <x:c r="V54" s="30" t="str"/>
      <x:c r="W54" s="30" t="str"/>
      <x:c r="X54" s="30" t="str"/>
    </x:row>
    <x:row r="55" ht="96" customHeight="1">
      <x:c r="A55" s="27" t="str">
        <x:v>CLM-088</x:v>
      </x:c>
      <x:c r="B55" s="27" t="str">
        <x:v>SRC-023</x:v>
      </x:c>
      <x:c r="C55" s="27" t="str"/>
      <x:c r="D55" s="27" t="str">
        <x:v>Eating, Diet, &amp; Nutrition for Crohn’s Disease</x:v>
      </x:c>
      <x:c r="E55" s="27" t="str">
        <x:v>fruit_vegetables</x:v>
      </x:c>
      <x:c r="F55" s="27" t="str">
        <x:v>crohns_disease</x:v>
      </x:c>
      <x:c r="G55" s="27" t="str">
        <x:v>general_or_unspecified</x:v>
      </x:c>
      <x:c r="H55" s="27" t="str">
        <x:v>Your doctor may recommend eating more fruits and vegetables for Crohn’s disease.</x:v>
      </x:c>
      <x:c r="I55" s="27" t="str">
        <x:v>The cited source reports that your doctor may recommend eating more fruits and vegetables for Crohn’s disease.</x:v>
      </x:c>
      <x:c r="J55" s="27" t="str">
        <x:v>The cited source reports that your doctor may recommend eating more fruits and vegetables for Crohn’s disease.</x:v>
      </x:c>
      <x:c r="K55" s="27" t="str">
        <x:v>Your doctor may recommend eating more fruits and vegetables for Crohn’s disease.</x:v>
      </x:c>
      <x:c r="L55" s="27" t="str"/>
      <x:c r="M55" s="27" t="str">
        <x:v>Official NIDDK webpage — heading "Eating, Diet, &amp; Nutrition for Crohn’s Disease"; paragraph containing the cited excerpt</x:v>
      </x:c>
      <x:c r="N55" s="27" t="str">
        <x:v>https://www.niddk.nih.gov/health-information/digestive-diseases/crohns-disease/eating-diet-nutrition</x:v>
      </x:c>
      <x:c r="O55" s="27" t="str">
        <x:v>ready_for_human_review</x:v>
      </x:c>
      <x:c r="P55" s="27" t="str">
        <x:v>ready_for_final_independent_qa</x:v>
      </x:c>
      <x:c r="Q55" s="27" t="str">
        <x:v>pending_explicit_human_approval</x:v>
      </x:c>
      <x:c r="R55" s="27" t="str">
        <x:v>verified_against_authoritative_public_page</x:v>
      </x:c>
      <x:c r="S55" s="27" t="str"/>
      <x:c r="T55" s="27" t="str">
        <x:v>Patient information is explanatory, not a substitute for clinical evidence or individualized care.</x:v>
      </x:c>
      <x:c r="U55" s="27" t="str">
        <x:v>pending_human_review</x:v>
      </x:c>
      <x:c r="V55" s="30" t="str"/>
      <x:c r="W55" s="30" t="str"/>
      <x:c r="X55" s="30" t="str"/>
    </x:row>
    <x:row r="56" ht="96" customHeight="1">
      <x:c r="A56" s="27" t="str">
        <x:v>CLM-089</x:v>
      </x:c>
      <x:c r="B56" s="27" t="str">
        <x:v>SRC-023</x:v>
      </x:c>
      <x:c r="C56" s="27" t="str"/>
      <x:c r="D56" s="27" t="str">
        <x:v>Eating, Diet, &amp; Nutrition for Crohn’s Disease</x:v>
      </x:c>
      <x:c r="E56" s="27" t="str">
        <x:v>core_condition_knowledge</x:v>
      </x:c>
      <x:c r="F56" s="27" t="str">
        <x:v>crohns_disease</x:v>
      </x:c>
      <x:c r="G56" s="27" t="str">
        <x:v>general_or_unspecified</x:v>
      </x:c>
      <x:c r="H56" s="27" t="str">
        <x:v>10 Your doctor may also recommend dietary supplements if your body doesn’t absorb enough nutrients.</x:v>
      </x:c>
      <x:c r="I56" s="27" t="str">
        <x:v>The cited source reports that your doctor may also recommend dietary supplements if your body doesn’t absorb enough nutrients.</x:v>
      </x:c>
      <x:c r="J56" s="27" t="str">
        <x:v>The cited source reports that your doctor may also recommend dietary supplements if your body doesn’t absorb enough nutrients.</x:v>
      </x:c>
      <x:c r="K56" s="27" t="str">
        <x:v>10 Your doctor may also recommend dietary supplements if your body doesn’t absorb enough nutrients.</x:v>
      </x:c>
      <x:c r="L56" s="27" t="str"/>
      <x:c r="M56" s="27" t="str">
        <x:v>Official NIDDK webpage — heading "Eating, Diet, &amp; Nutrition for Crohn’s Disease"; paragraph containing the cited excerpt</x:v>
      </x:c>
      <x:c r="N56" s="27" t="str">
        <x:v>https://www.niddk.nih.gov/health-information/digestive-diseases/crohns-disease/eating-diet-nutrition</x:v>
      </x:c>
      <x:c r="O56" s="27" t="str">
        <x:v>ready_for_human_review</x:v>
      </x:c>
      <x:c r="P56" s="27" t="str">
        <x:v>ready_for_final_independent_qa</x:v>
      </x:c>
      <x:c r="Q56" s="27" t="str">
        <x:v>pending_explicit_human_approval</x:v>
      </x:c>
      <x:c r="R56" s="27" t="str">
        <x:v>verified_against_authoritative_public_page</x:v>
      </x:c>
      <x:c r="S56" s="27" t="str"/>
      <x:c r="T56" s="27" t="str">
        <x:v>Patient information is explanatory, not a substitute for clinical evidence or individualized care.</x:v>
      </x:c>
      <x:c r="U56" s="27" t="str">
        <x:v>pending_human_review</x:v>
      </x:c>
      <x:c r="V56" s="30" t="str"/>
      <x:c r="W56" s="30" t="str"/>
      <x:c r="X56" s="30" t="str"/>
    </x:row>
    <x:row r="57" ht="96" customHeight="1">
      <x:c r="A57" s="27" t="str">
        <x:v>CLM-092</x:v>
      </x:c>
      <x:c r="B57" s="27" t="str">
        <x:v>SRC-024</x:v>
      </x:c>
      <x:c r="C57" s="27" t="str"/>
      <x:c r="D57" s="27" t="str">
        <x:v>What Should I Eat with IBD?</x:v>
      </x:c>
      <x:c r="E57" s="27" t="str">
        <x:v>core_condition_knowledge</x:v>
      </x:c>
      <x:c r="F57" s="27" t="str">
        <x:v>ulcerative_colitis; crohns_disease; ibd_general</x:v>
      </x:c>
      <x:c r="G57" s="27" t="str">
        <x:v>general_or_unspecified</x:v>
      </x:c>
      <x:c r="H57" s="27" t="str">
        <x:v>Disordered eating is common in people with GI diseases and is associated with worse disease outcomes 2 .</x:v>
      </x:c>
      <x:c r="I57" s="27" t="str">
        <x:v>The cited source reports that disordered eating is common in people with GI diseases and is associated with worse disease outcomes 2 . This is population-level association evidence and does not establish causation or predict an individual's disease course. The webpage version date should be confirmed before approval.</x:v>
      </x:c>
      <x:c r="J57" s="27" t="str">
        <x:v>The cited source reports that disordered eating is common in people with GI diseases and is associated with worse disease outcomes 2 . This is population-level association evidence and does not establish causation or predict an individual's disease course. The webpage version date should be confirmed before approval.</x:v>
      </x:c>
      <x:c r="K57" s="27" t="str">
        <x:v>Disordered eating is common in people with GI diseases and is associated with worse disease outcomes 2 .</x:v>
      </x:c>
      <x:c r="L57" s="27" t="str"/>
      <x:c r="M57" s="27" t="str">
        <x:v>Official Crohn’s &amp; Colitis Foundation webpage — heading "Important points to keep in mind"; bullet 2</x:v>
      </x:c>
      <x:c r="N57" s="27" t="str">
        <x:v>https://www.crohnscolitisfoundation.org/patientsandcaregivers/diet-and-nutrition/what-should-i-eat</x:v>
      </x:c>
      <x:c r="O57" s="27" t="str">
        <x:v>still_needs_evidence</x:v>
      </x:c>
      <x:c r="P57" s="27" t="str">
        <x:v>unresolved_not_approval_ready</x:v>
      </x:c>
      <x:c r="Q57" s="27" t="str">
        <x:v>excluded_until_evidence_resolved_and_explicitly_approved</x:v>
      </x:c>
      <x:c r="R57" s="27" t="str">
        <x:v>verified_against_authoritative_public_page</x:v>
      </x:c>
      <x:c r="S57" s="27" t="str">
        <x:v>Status preserved without additional research, as required.</x:v>
      </x:c>
      <x:c r="T57" s="27" t="str">
        <x:v>Patient information is explanatory, not a substitute for clinical evidence or individualized care.</x:v>
      </x:c>
      <x:c r="U57" s="27" t="str">
        <x:v>pending_human_review</x:v>
      </x:c>
      <x:c r="V57" s="30" t="str"/>
      <x:c r="W57" s="30" t="str"/>
      <x:c r="X57" s="30" t="str"/>
    </x:row>
    <x:row r="58" ht="96" customHeight="1">
      <x:c r="A58" s="27" t="str">
        <x:v>CLM-093</x:v>
      </x:c>
      <x:c r="B58" s="27" t="str">
        <x:v>SRC-025</x:v>
      </x:c>
      <x:c r="C58" s="27" t="str"/>
      <x:c r="D58" s="27" t="str">
        <x:v>Food and IBD</x:v>
      </x:c>
      <x:c r="E58" s="27" t="str">
        <x:v>fruit_vegetables</x:v>
      </x:c>
      <x:c r="F58" s="27" t="str">
        <x:v>ulcerative_colitis; crohns_disease; ibd_general</x:v>
      </x:c>
      <x:c r="G58" s="27" t="str">
        <x:v>general_or_unspecified</x:v>
      </x:c>
      <x:c r="H58" s="27" t="str">
        <x:v>Melanie Living with Crohn's Fruit and vegetables It is recommended that people try to eat at least five portions of a variety of fruit and vegetables every day.</x:v>
      </x:c>
      <x:c r="I58" s="27"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J58" s="27" t="str">
        <x:v>The cited source reports that fruit and vegetables It is recommended that people try to eat at least five portions of a variety of fruit and vegetables every day. This is source-attributed information, not a treatment recommendation for an individual. The webpage version date should be confirmed before approval.</x:v>
      </x:c>
      <x:c r="K58" s="27" t="str">
        <x:v>Melanie Living with Crohn's Fruit and vegetables It is recommended that people try to eat at least five portions of a variety of fruit and vegetables every day.</x:v>
      </x:c>
      <x:c r="L58" s="27" t="str"/>
      <x:c r="M58" s="27" t="str">
        <x:v>Official Crohn’s &amp; Colitis UK webpage — heading "Fruit and vegetables"; first paragraph</x:v>
      </x:c>
      <x:c r="N58" s="27" t="str">
        <x:v>https://www.crohnsandcolitis.org.uk/info-support/information-about-crohns-and-colitis/all-information-about-crohns-and-colitis/living-with-crohns-or-colitis/food</x:v>
      </x:c>
      <x:c r="O58" s="27" t="str">
        <x:v>ready_for_human_review</x:v>
      </x:c>
      <x:c r="P58" s="27" t="str">
        <x:v>ready_for_final_independent_qa</x:v>
      </x:c>
      <x:c r="Q58" s="27" t="str">
        <x:v>pending_explicit_human_approval</x:v>
      </x:c>
      <x:c r="R58" s="27" t="str">
        <x:v>verified_against_authoritative_public_page</x:v>
      </x:c>
      <x:c r="S58" s="27" t="str"/>
      <x:c r="T58" s="27" t="str">
        <x:v>Patient information is explanatory, not a substitute for clinical evidence or individualized care.</x:v>
      </x:c>
      <x:c r="U58" s="27" t="str">
        <x:v>pending_human_review</x:v>
      </x:c>
      <x:c r="V58" s="30" t="str"/>
      <x:c r="W58" s="30" t="str"/>
      <x:c r="X58" s="30" t="str"/>
    </x:row>
    <x:row r="59" ht="96" customHeight="1">
      <x:c r="A59" s="27" t="str">
        <x:v>CLM-094</x:v>
      </x:c>
      <x:c r="B59" s="27" t="str">
        <x:v>SRC-025</x:v>
      </x:c>
      <x:c r="C59" s="27" t="str"/>
      <x:c r="D59" s="27" t="str">
        <x:v>Food and IBD</x:v>
      </x:c>
      <x:c r="E59" s="27" t="str">
        <x:v>fibre</x:v>
      </x:c>
      <x:c r="F59" s="27" t="str">
        <x:v>ulcerative_colitis; crohns_disease; ibd_general</x:v>
      </x:c>
      <x:c r="G59" s="27" t="str">
        <x:v>general_or_unspecified</x:v>
      </x:c>
      <x:c r="H59" s="27" t="str">
        <x:v>Guidelines recommend that you eat 30g of fibre a day.</x:v>
      </x:c>
      <x:c r="I59" s="27" t="str">
        <x:v>The cited source reports that guidelines recommend that you eat 30g of fibre a day. The webpage version date should be confirmed before approval.</x:v>
      </x:c>
      <x:c r="J59" s="27" t="str">
        <x:v>The cited source reports that guidelines recommend that you eat 30g of fibre a day. The webpage version date should be confirmed before approval.</x:v>
      </x:c>
      <x:c r="K59" s="27" t="str">
        <x:v>Guidelines recommend that you eat 30g of fibre a day.</x:v>
      </x:c>
      <x:c r="L59" s="27" t="str"/>
      <x:c r="M59" s="27" t="str">
        <x:v>Official Crohn’s &amp; Colitis UK webpage — heading "Fibre"; first paragraph</x:v>
      </x:c>
      <x:c r="N59" s="27" t="str">
        <x:v>https://www.crohnsandcolitis.org.uk/info-support/information-about-crohns-and-colitis/all-information-about-crohns-and-colitis/living-with-crohns-or-colitis/food</x:v>
      </x:c>
      <x:c r="O59" s="27" t="str">
        <x:v>ready_for_human_review</x:v>
      </x:c>
      <x:c r="P59" s="27" t="str">
        <x:v>ready_for_final_independent_qa</x:v>
      </x:c>
      <x:c r="Q59" s="27" t="str">
        <x:v>pending_explicit_human_approval</x:v>
      </x:c>
      <x:c r="R59" s="27" t="str">
        <x:v>verified_against_authoritative_public_page</x:v>
      </x:c>
      <x:c r="S59" s="27" t="str"/>
      <x:c r="T59" s="27" t="str">
        <x:v>Patient information is explanatory, not a substitute for clinical evidence or individualized care.</x:v>
      </x:c>
      <x:c r="U59" s="27" t="str">
        <x:v>pending_human_review</x:v>
      </x:c>
      <x:c r="V59" s="30" t="str"/>
      <x:c r="W59" s="30" t="str"/>
      <x:c r="X59" s="30" t="str"/>
    </x:row>
    <x:row r="60" ht="96" customHeight="1">
      <x:c r="A60" s="27" t="str">
        <x:v>CLM-095</x:v>
      </x:c>
      <x:c r="B60" s="27" t="str">
        <x:v>SRC-025</x:v>
      </x:c>
      <x:c r="C60" s="27" t="str"/>
      <x:c r="D60" s="27" t="str">
        <x:v>Food and IBD</x:v>
      </x:c>
      <x:c r="E60" s="27" t="str">
        <x:v>alcohol</x:v>
      </x:c>
      <x:c r="F60" s="27" t="str">
        <x:v>ulcerative_colitis; crohns_disease; ibd_general</x:v>
      </x:c>
      <x:c r="G60" s="27" t="str">
        <x:v>general_or_unspecified</x:v>
      </x:c>
      <x:c r="H60" s="27" t="str">
        <x:v>Alcohol There is not enough high-quality evidence to know for certain if drinking alcohol could increase your risk of a flare-up.</x:v>
      </x:c>
      <x:c r="I60" s="27"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J60" s="27" t="str">
        <x:v>The cited source reports that there is not enough high-quality evidence to know for certain if drinking alcohol could increase your risk of a flare-up. This is population-level association evidence and does not establish causation or predict an individual's disease course. The webpage version date should be confirmed before approval.</x:v>
      </x:c>
      <x:c r="K60" s="27" t="str">
        <x:v>Alcohol There is not enough high-quality evidence to know for certain if drinking alcohol could increase your risk of a flare-up.</x:v>
      </x:c>
      <x:c r="L60" s="27" t="str"/>
      <x:c r="M60" s="27" t="str">
        <x:v>Official Crohn’s &amp; Colitis UK webpage — heading "Alcohol"; first paragraph</x:v>
      </x:c>
      <x:c r="N60" s="27" t="str">
        <x:v>https://www.crohnsandcolitis.org.uk/info-support/information-about-crohns-and-colitis/all-information-about-crohns-and-colitis/living-with-crohns-or-colitis/food</x:v>
      </x:c>
      <x:c r="O60" s="27" t="str">
        <x:v>ready_for_human_review</x:v>
      </x:c>
      <x:c r="P60" s="27" t="str">
        <x:v>ready_for_final_independent_qa</x:v>
      </x:c>
      <x:c r="Q60" s="27" t="str">
        <x:v>pending_explicit_human_approval</x:v>
      </x:c>
      <x:c r="R60" s="27" t="str">
        <x:v>verified_against_authoritative_public_page</x:v>
      </x:c>
      <x:c r="S60" s="27" t="str"/>
      <x:c r="T60" s="27" t="str">
        <x:v>Patient information is explanatory, not a substitute for clinical evidence or individualized care.</x:v>
      </x:c>
      <x:c r="U60" s="27" t="str">
        <x:v>pending_human_review</x:v>
      </x:c>
      <x:c r="V60" s="30" t="str"/>
      <x:c r="W60" s="30" t="str"/>
      <x:c r="X60" s="30" t="str"/>
    </x:row>
    <x:row r="61" ht="96" customHeight="1">
      <x:c r="A61" s="27" t="str">
        <x:v>CLM-096</x:v>
      </x:c>
      <x:c r="B61" s="27" t="str">
        <x:v>SRC-026</x:v>
      </x:c>
      <x:c r="C61" s="27" t="str"/>
      <x:c r="D61" s="27" t="str">
        <x:v>ESPEN guideline on Clinical Nutrition in inflammatory bowel disease.</x:v>
      </x:c>
      <x:c r="E61" s="27" t="str"/>
      <x:c r="F61" s="27" t="str"/>
      <x:c r="G61" s="27" t="str"/>
      <x:c r="H61" s="27" t="str">
        <x:v>The recommended perioperative management of patients with IBD undergoing surgery accords with general ESPEN guidance for patients having abdominal surgery.</x:v>
      </x:c>
      <x:c r="I61" s="27" t="str">
        <x:v>The cited source reports that the recommended perioperative management of patients with IBD undergoing surgery accords with general ESPEN guidance for patients having abdominal surgery. This is source-attributed information, not a treatment recommendation for an individual.</x:v>
      </x:c>
      <x:c r="J61" s="27" t="str">
        <x:v>The 2023 ESPEN guideline states that perioperative nutrition principles from its surgery guideline apply to IBD surgical care, while noting that IBD-specific ERAS evidence is sparse.</x:v>
      </x:c>
      <x:c r="K61" s="27" t="str">
        <x:v>The recommendations have been adapted from the ESPEN Guideline: Clinical Nutrition in Surgery in a slightly modified way since the principles apply equally to the IBD patient undergoing surgical intervention. Evidence of ERAS in patients with IBD is sparse.</x:v>
      </x:c>
      <x:c r="L61" s="27" t="str"/>
      <x:c r="M61" s="27" t="str">
        <x:v>Official ESPEN PDF — journal page 363, Recommendations 40–41 commentary, first paragraph</x:v>
      </x:c>
      <x:c r="N61" s="27" t="str"/>
      <x:c r="O61" s="27" t="str">
        <x:v>ready_for_human_review</x:v>
      </x:c>
      <x:c r="P61" s="27" t="str">
        <x:v>ready_for_final_independent_qa</x:v>
      </x:c>
      <x:c r="Q61" s="27" t="str">
        <x:v>pending_explicit_human_approval</x:v>
      </x:c>
      <x:c r="R61" s="27" t="str"/>
      <x:c r="S61" s="27" t="str"/>
      <x:c r="T61" s="27" t="str">
        <x:v>Clinician-led perioperative context only; not individualized dietary advice.</x:v>
      </x:c>
      <x:c r="U61" s="27" t="str">
        <x:v>pending_human_review</x:v>
      </x:c>
      <x:c r="V61" s="30" t="str"/>
      <x:c r="W61" s="30" t="str"/>
      <x:c r="X61" s="30" t="str"/>
    </x:row>
    <x:row r="62" ht="96" customHeight="1">
      <x:c r="A62" s="27" t="str">
        <x:v>CLM-097</x:v>
      </x:c>
      <x:c r="B62" s="27" t="str">
        <x:v>SRC-026</x:v>
      </x:c>
      <x:c r="C62" s="27" t="str"/>
      <x:c r="D62" s="27" t="str">
        <x:v>ESPEN guideline on Clinical Nutrition in inflammatory bowel disease.</x:v>
      </x:c>
      <x:c r="E62" s="27" t="str"/>
      <x:c r="F62" s="27" t="str"/>
      <x:c r="G62" s="27" t="str"/>
      <x:c r="H62" s="27" t="str">
        <x:v>However, exclusion diets are generally not recommended and there is little evidence to support any particular formula feed when nutritional regimens are constructed.</x:v>
      </x:c>
      <x:c r="I62" s="27" t="str">
        <x:v>The cited source reports that however, exclusion diets are generally not recommended and there is little evidence to support any particular formula feed when nutritional regimens are constructed. This is source-attributed information, not a treatment recommendation for an individual.</x:v>
      </x:c>
      <x:c r="J62" s="27" t="str">
        <x:v>The 2023 ESPEN guideline states that no oral IBD diet can be generally recommended to promote remission in patients with active IBD.</x:v>
      </x:c>
      <x:c r="K62" s="27" t="str">
        <x:v>Therefore, no “oral IBD diet” can be generally recommended to promote remission in patients with IBD with active disease.</x:v>
      </x:c>
      <x:c r="L62" s="27" t="str">
        <x:v>Therefore, no “oral IBD diet” can be generally recommended to promote remission in patients with IBD with active disease.</x:v>
      </x:c>
      <x:c r="M62" s="27" t="str">
        <x:v>Official ESPEN PDF — journal page 357, Section 5 "Dietetic recommendations in active disease"; Recommendation 15 commentary, final paragraph beginning "Therefore, no oral IBD diet..."</x:v>
      </x:c>
      <x:c r="N62" s="27" t="str">
        <x:v>https://www.espen.org/files/ESPEN-Guidelines/ESPEN_guideline_on_Clinical_nutrition_in_inflammatory_bowel_disease.pdf</x:v>
      </x:c>
      <x:c r="O62" s="27" t="str">
        <x:v>ready_for_human_review</x:v>
      </x:c>
      <x:c r="P62" s="27" t="str">
        <x:v>ready_for_final_independent_qa</x:v>
      </x:c>
      <x:c r="Q62" s="27" t="str">
        <x:v>pending_explicit_human_approval</x:v>
      </x:c>
      <x:c r="R62" s="27" t="str">
        <x:v>PASS_direct_support_verified_official_pdf</x:v>
      </x:c>
      <x:c r="S62" s="27" t="str">
        <x:v>Narrowed to the single assertion directly supported by the displayed excerpt. The other supported ideas were split into CLM-098 through CLM-100.</x:v>
      </x:c>
      <x:c r="T62" s="27" t="str">
        <x:v>Subgroup-specific; requires IBD-specialist dietitian/clinician oversight.</x:v>
      </x:c>
      <x:c r="U62" s="27" t="str">
        <x:v>pending_human_review</x:v>
      </x:c>
      <x:c r="V62" s="30" t="str"/>
      <x:c r="W62" s="30" t="str"/>
      <x:c r="X62" s="30" t="str"/>
    </x:row>
    <x:row r="63" ht="96" customHeight="1">
      <x:c r="A63" s="27" t="str">
        <x:v>CLM-098</x:v>
      </x:c>
      <x:c r="B63" s="27" t="str">
        <x:v>SRC-026</x:v>
      </x:c>
      <x:c r="C63" s="27" t="str">
        <x:v>CLM-097</x:v>
      </x:c>
      <x:c r="D63" s="27" t="str">
        <x:v>ESPEN guideline on Clinical Nutrition in inflammatory bowel disease.</x:v>
      </x:c>
      <x:c r="E63" s="27" t="str"/>
      <x:c r="F63" s="27" t="str"/>
      <x:c r="G63" s="27" t="str"/>
      <x:c r="H63" s="27" t="str">
        <x:v>The 2023 ESPEN guideline states that no oral IBD diet can be generally recommended to promote remission in patients with active IBD.</x:v>
      </x:c>
      <x:c r="I63" s="27" t="str"/>
      <x:c r="J63" s="27" t="str">
        <x:v>The 2023 ESPEN guideline states that a Crohn’s disease exclusion diet plus partial enteral nutrition should be considered as an alternative to exclusive enteral nutrition in pediatric patients with mild-to-moderate Crohn’s disease to achieve remission.</x:v>
      </x:c>
      <x:c r="K63" s="27" t="str">
        <x:v>CD exclusion diet (plus partial EN) should be considered as an alternative to exclusive EN in pediatric patients with mild to moderate CD to achieve remission.</x:v>
      </x:c>
      <x:c r="L63" s="27" t="str">
        <x:v>CD exclusion diet (plus partial EN) should be considered as an alternative to exclusive EN in pediatric patients with mild to moderate CD to achieve remission.</x:v>
      </x:c>
      <x:c r="M63" s="27" t="str">
        <x:v>Official ESPEN PDF — journal page 357, Section 5 "Dietetic recommendations in active disease"; Recommendation 16</x:v>
      </x:c>
      <x:c r="N63" s="27" t="str">
        <x:v>https://www.espen.org/files/ESPEN-Guidelines/ESPEN_guideline_on_Clinical_nutrition_in_inflammatory_bowel_disease.pdf</x:v>
      </x:c>
      <x:c r="O63" s="27" t="str">
        <x:v>ready_for_human_review</x:v>
      </x:c>
      <x:c r="P63" s="27" t="str">
        <x:v>ready_for_final_independent_qa</x:v>
      </x:c>
      <x:c r="Q63" s="27" t="str">
        <x:v>pending_explicit_human_approval</x:v>
      </x:c>
      <x:c r="R63" s="27" t="str">
        <x:v>direct_support_verified_official_pdf</x:v>
      </x:c>
      <x:c r="S63" s="27" t="str">
        <x:v>Created as a pediatric-population atomic split from the former broad CLM-097.</x:v>
      </x:c>
      <x:c r="T63" s="27" t="str">
        <x:v>Subgroup-specific; requires IBD-specialist dietitian/clinician oversight.</x:v>
      </x:c>
      <x:c r="U63" s="27" t="str">
        <x:v>pending_human_review</x:v>
      </x:c>
      <x:c r="V63" s="30" t="str"/>
      <x:c r="W63" s="30" t="str"/>
      <x:c r="X63" s="30" t="str"/>
    </x:row>
    <x:row r="64" ht="96" customHeight="1">
      <x:c r="A64" s="27" t="str">
        <x:v>CLM-099</x:v>
      </x:c>
      <x:c r="B64" s="27" t="str">
        <x:v>SRC-026</x:v>
      </x:c>
      <x:c r="C64" s="27" t="str">
        <x:v>CLM-097</x:v>
      </x:c>
      <x:c r="D64" s="27" t="str">
        <x:v>ESPEN guideline on Clinical Nutrition in inflammatory bowel disease.</x:v>
      </x:c>
      <x:c r="E64" s="27" t="str"/>
      <x:c r="F64" s="27" t="str"/>
      <x:c r="G64" s="27" t="str"/>
      <x:c r="H64" s="27" t="str">
        <x:v>The 2023 ESPEN guideline states that no oral IBD diet can be generally recommended to promote remission in patients with active IBD.</x:v>
      </x:c>
      <x:c r="I64" s="27" t="str"/>
      <x:c r="J64" s="27" t="str">
        <x:v>The 2023 ESPEN guideline states that, in adults with mild-to-moderate active Crohn’s disease, a Crohn’s disease exclusion diet can be considered with or without enteral nutrition.</x:v>
      </x:c>
      <x:c r="K64" s="27" t="str">
        <x:v>In adult patients, a CD exclusion diet can be considered with or without EN in mild to moderate active CD.</x:v>
      </x:c>
      <x:c r="L64" s="27" t="str">
        <x:v>In adult patients, a CD exclusion diet can be considered with or without EN in mild to moderate active CD.</x:v>
      </x:c>
      <x:c r="M64" s="27" t="str">
        <x:v>Official ESPEN PDF — journal page 357, Section 5 "Dietetic recommendations in active disease"; Recommendation 17</x:v>
      </x:c>
      <x:c r="N64" s="27" t="str">
        <x:v>https://www.espen.org/files/ESPEN-Guidelines/ESPEN_guideline_on_Clinical_nutrition_in_inflammatory_bowel_disease.pdf</x:v>
      </x:c>
      <x:c r="O64" s="27" t="str">
        <x:v>ready_for_human_review</x:v>
      </x:c>
      <x:c r="P64" s="27" t="str">
        <x:v>ready_for_final_independent_qa</x:v>
      </x:c>
      <x:c r="Q64" s="27" t="str">
        <x:v>pending_explicit_human_approval</x:v>
      </x:c>
      <x:c r="R64" s="27" t="str">
        <x:v>direct_support_verified_official_pdf</x:v>
      </x:c>
      <x:c r="S64" s="27" t="str">
        <x:v>Created as an adult-population atomic split from the former broad CLM-097.</x:v>
      </x:c>
      <x:c r="T64" s="27" t="str">
        <x:v>Subgroup-specific; requires IBD-specialist dietitian/clinician oversight.</x:v>
      </x:c>
      <x:c r="U64" s="27" t="str">
        <x:v>pending_human_review</x:v>
      </x:c>
      <x:c r="V64" s="30" t="str"/>
      <x:c r="W64" s="30" t="str"/>
      <x:c r="X64" s="30" t="str"/>
    </x:row>
    <x:row r="65" ht="96" customHeight="1">
      <x:c r="A65" s="28" t="str">
        <x:v>CLM-100</x:v>
      </x:c>
      <x:c r="B65" s="28" t="str">
        <x:v>SRC-026</x:v>
      </x:c>
      <x:c r="C65" s="28" t="str">
        <x:v>CLM-097</x:v>
      </x:c>
      <x:c r="D65" s="28" t="str">
        <x:v>ESPEN guideline on Clinical Nutrition in inflammatory bowel disease.</x:v>
      </x:c>
      <x:c r="E65" s="28" t="str"/>
      <x:c r="F65" s="28" t="str"/>
      <x:c r="G65" s="28" t="str"/>
      <x:c r="H65" s="28" t="str">
        <x:v>The 2023 ESPEN guideline states that no oral IBD diet can be generally recommended to promote remission in patients with active IBD.</x:v>
      </x:c>
      <x:c r="I65" s="28" t="str"/>
      <x:c r="J65" s="28" t="str">
        <x:v>The 2023 ESPEN guideline states that data on long-term effectiveness and the possible risk of nutritional deficiencies or eating-behavior disturbances from long-term exclusion-diet use are not yet available.</x:v>
      </x:c>
      <x:c r="K65" s="28" t="str">
        <x:v>Data on long-term effectiveness and possible risk of nutritional deficiencies or eating behavior disturbances due to long-term use of exclusion diets are not (yet) available.</x:v>
      </x:c>
      <x:c r="L65" s="28" t="str">
        <x:v>Data on long-term effectiveness and possible risk of nutritional deficiencies or eating behavior disturbances due to long-term use of exclusion diets are not (yet) available.</x:v>
      </x:c>
      <x:c r="M65" s="28" t="str">
        <x:v>Official ESPEN PDF — journal page 357, Section 5 "Dietetic recommendations in active disease"; commentary for Recommendations 16 and 17, paragraph ending immediately before Recommendation 18</x:v>
      </x:c>
      <x:c r="N65" s="28" t="str">
        <x:v>https://www.espen.org/files/ESPEN-Guidelines/ESPEN_guideline_on_Clinical_nutrition_in_inflammatory_bowel_disease.pdf</x:v>
      </x:c>
      <x:c r="O65" s="28" t="str">
        <x:v>ready_for_human_review</x:v>
      </x:c>
      <x:c r="P65" s="28" t="str">
        <x:v>ready_for_final_independent_qa</x:v>
      </x:c>
      <x:c r="Q65" s="28" t="str">
        <x:v>pending_explicit_human_approval</x:v>
      </x:c>
      <x:c r="R65" s="28" t="str">
        <x:v>direct_support_verified_official_pdf</x:v>
      </x:c>
      <x:c r="S65" s="28" t="str">
        <x:v>Created as an evidence-limitation atomic split from the former broad CLM-097.</x:v>
      </x:c>
      <x:c r="T65" s="28" t="str">
        <x:v>Subgroup-specific; requires IBD-specialist dietitian/clinician oversight.</x:v>
      </x:c>
      <x:c r="U65" s="28" t="str">
        <x:v>pending_human_review</x:v>
      </x:c>
      <x:c r="V65" s="31" t="str"/>
      <x:c r="W65" s="31" t="str"/>
      <x:c r="X65" s="31" t="str"/>
    </x:row>
  </x:sheetData>
  <x:mergeCells>
    <x:mergeCell ref="A1:X1"/>
    <x:mergeCell ref="A2:X2"/>
  </x:mergeCells>
  <x:conditionalFormatting sqref="P5:P65">
    <x:cfRule type="containsText" dxfId="9" priority="1" operator="containsText" text="PASS"/>
    <x:cfRule type="containsText" dxfId="10" priority="2" operator="containsText" text="ready"/>
    <x:cfRule type="containsText" dxfId="11" priority="3" operator="containsText" text="supported"/>
    <x:cfRule type="containsText" dxfId="12" priority="4" operator="containsText" text="pending"/>
    <x:cfRule type="containsText" dxfId="13" priority="5" operator="containsText" text="needs"/>
    <x:cfRule type="containsText" dxfId="14" priority="6" operator="containsText" text="unresolved"/>
    <x:cfRule type="containsText" dxfId="15" priority="7" operator="containsText" text="excluded"/>
    <x:cfRule type="containsText" dxfId="16" priority="8" operator="containsText" text="removed"/>
    <x:cfRule type="containsText" dxfId="17" priority="9" operator="containsText" text="superseded"/>
  </x:conditionalFormatting>
  <x:pageMargins left="0.7" right="0.7" top="0.75" bottom="0.75" header="0.3" footer="0.3"/>
  <x:tableParts count="1">
    <x:tablePart xmlns:r="http://schemas.openxmlformats.org/officeDocument/2006/relationships" r:id="R83b244fb04d14158"/>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58" hidden="0" customWidth="1"/>
    <x:col min="4" max="4" width="48" hidden="0" customWidth="1"/>
    <x:col min="5" max="5" width="62" hidden="0" customWidth="1"/>
    <x:col min="6" max="6" width="64" hidden="0" customWidth="1"/>
    <x:col min="7" max="7" width="44" hidden="0" customWidth="1"/>
    <x:col min="8" max="8" width="50" hidden="0" customWidth="1"/>
    <x:col min="9" max="9" width="36" hidden="0" customWidth="1"/>
    <x:col min="10" max="10" width="52" hidden="0" customWidth="1"/>
    <x:col min="11" max="11" width="23" hidden="0" customWidth="1"/>
  </x:cols>
  <x:sheetData>
    <x:row r="1" ht="31" customHeight="1">
      <x:c r="A1" s="3" t="str">
        <x:v>ECCO locator corrections — CLM-081 through CLM-086</x:v>
      </x:c>
      <x:c r="B1" s="3"/>
      <x:c r="C1" s="3"/>
      <x:c r="D1" s="3"/>
      <x:c r="E1" s="3"/>
      <x:c r="F1" s="3"/>
      <x:c r="G1" s="3"/>
      <x:c r="H1" s="3"/>
      <x:c r="I1" s="3"/>
      <x:c r="J1" s="3"/>
      <x:c r="K1" s="3"/>
    </x:row>
    <x:row r="2" ht="46" customHeight="1">
      <x:c r="A2" s="7" t="str">
        <x:v>All six false Abstract locators are replaced by numbered sections, statements or practice points, and stable paragraph or sentence anchors. Supporting excerpts are preserved.</x:v>
      </x:c>
      <x:c r="B2" s="7"/>
      <x:c r="C2" s="7"/>
      <x:c r="D2" s="7"/>
      <x:c r="E2" s="7"/>
      <x:c r="F2" s="7"/>
      <x:c r="G2" s="7"/>
      <x:c r="H2" s="7"/>
      <x:c r="I2" s="7"/>
      <x:c r="J2" s="7"/>
      <x:c r="K2" s="7"/>
    </x:row>
    <x:row r="4" ht="42" customHeight="1">
      <x:c r="A4" s="16" t="str">
        <x:v>Claim ID</x:v>
      </x:c>
      <x:c r="B4" s="17" t="str">
        <x:v>Source ID</x:v>
      </x:c>
      <x:c r="C4" s="17" t="str">
        <x:v>Preserved supporting excerpt</x:v>
      </x:c>
      <x:c r="D4" s="17" t="str">
        <x:v>Old locator</x:v>
      </x:c>
      <x:c r="E4" s="17" t="str">
        <x:v>Corrected precise locator</x:v>
      </x:c>
      <x:c r="F4" s="17" t="str">
        <x:v>Exact authoritative passage</x:v>
      </x:c>
      <x:c r="G4" s="17" t="str">
        <x:v>Authoritative source URL</x:v>
      </x:c>
      <x:c r="H4" s="17" t="str">
        <x:v>Local verification copy</x:v>
      </x:c>
      <x:c r="I4" s="17" t="str">
        <x:v>Verification status</x:v>
      </x:c>
      <x:c r="J4" s="17" t="str">
        <x:v>Remediation note</x:v>
      </x:c>
      <x:c r="K4" s="18" t="str">
        <x:v>Review status</x:v>
      </x:c>
    </x:row>
    <x:row r="5" ht="108" customHeight="1">
      <x:c r="A5" s="26" t="str">
        <x:v>CLM-081</x:v>
      </x:c>
      <x:c r="B5" s="26" t="str">
        <x:v>SRC-021</x:v>
      </x:c>
      <x:c r="C5" s="26" t="str">
        <x:v>In the absence of a specific dietary intervention that is recommended by an IBD healthcare professional, healthy eating guidelines should be followed by people with IBD, as recommended for the general population.</x:v>
      </x:c>
      <x:c r="D5" s="26" t="str">
        <x:v>Official article webpage — heading "Abstract"; sentence containing exact excerpt SHA-256 84eccf68ee7b</x:v>
      </x:c>
      <x:c r="E5" s="26" t="str">
        <x:v>Official ECCO consensus article — Section 3, "Translation and execution of dietary management"; Statement 1; paragraph beginning "Statement 1: In the absence of a specific dietary intervention..."</x:v>
      </x:c>
      <x:c r="F5" s="26" t="str">
        <x:v>Statement 1: In the absence of a specific dietary intervention that is recommended by an IBD healthcare professional, healthy eating guidelines should be followed by people with IBD, as recommended for the general population. (EL5) (Consensus: 100%)</x:v>
      </x:c>
      <x:c r="G5" s="26" t="str">
        <x:v>https://academic.oup.com/ecco-jcc/article/19/9/jjaf122/8198055</x:v>
      </x:c>
      <x:c r="H5" s="26" t="str">
        <x:v>/Users/janakirampulipati/ibd-research-review/sources/final-remediation/SRC-021-authoritative.html</x:v>
      </x:c>
      <x:c r="I5" s="26" t="str">
        <x:v>PASS_direct_support_and_numbered_locator</x:v>
      </x:c>
      <x:c r="J5" s="26" t="str">
        <x:v>Replaced false Abstract locator with Section 3, Statement 1. Claim wording unchanged.</x:v>
      </x:c>
      <x:c r="K5" s="26" t="str">
        <x:v>pending_human_review</x:v>
      </x:c>
    </x:row>
    <x:row r="6" ht="108" customHeight="1">
      <x:c r="A6" s="27" t="str">
        <x:v>CLM-082</x:v>
      </x:c>
      <x:c r="B6" s="27" t="str">
        <x:v>SRC-021</x:v>
      </x:c>
      <x:c r="C6" s="27" t="str">
        <x:v>Most evidence for dietary interventions was of low quality, with few studies measuring endoscopic, radiological, or biochemical endpoints or durability of response.</x:v>
      </x:c>
      <x:c r="D6" s="27" t="str">
        <x:v>Official article webpage — heading "Abstract"; sentence containing exact excerpt SHA-256 46697aaa49c3</x:v>
      </x:c>
      <x:c r="E6" s="27" t="str">
        <x:v>Official ECCO consensus article — Section 4.1, "Dietary therapy to induce and maintain remission of IBD"; opening paragraph; sentence beginning "Most evidence for dietary interventions..."</x:v>
      </x:c>
      <x:c r="F6" s="27" t="str">
        <x:v>Most evidence for dietary interventions was of low quality, with few studies measuring endoscopic, radiological, or biochemical end points or durability of response.</x:v>
      </x:c>
      <x:c r="G6" s="27" t="str">
        <x:v>https://academic.oup.com/ecco-jcc/article/19/9/jjaf122/8198055</x:v>
      </x:c>
      <x:c r="H6" s="27" t="str">
        <x:v>/Users/janakirampulipati/ibd-research-review/sources/final-remediation/SRC-021-authoritative.html</x:v>
      </x:c>
      <x:c r="I6" s="27" t="str">
        <x:v>PASS_direct_support_and_numbered_locator</x:v>
      </x:c>
      <x:c r="J6" s="27" t="str">
        <x:v>Replaced false Abstract locator with Section 4.1 opening paragraph. Claim wording unchanged.</x:v>
      </x:c>
      <x:c r="K6" s="27" t="str">
        <x:v>pending_human_review</x:v>
      </x:c>
    </x:row>
    <x:row r="7" ht="108" customHeight="1">
      <x:c r="A7" s="27" t="str">
        <x:v>CLM-083</x:v>
      </x:c>
      <x:c r="B7" s="27" t="str">
        <x:v>SRC-021</x:v>
      </x:c>
      <x:c r="C7" s="27" t="str">
        <x:v>A modified or low-fiber diet may reduce obstruction risk in people with stricturing Crohn's disease.</x:v>
      </x:c>
      <x:c r="D7" s="27" t="str">
        <x:v>Official article webpage — heading "Abstract"; sentence containing exact excerpt SHA-256 25b8f4115beb</x:v>
      </x:c>
      <x:c r="E7" s="27" t="str">
        <x:v>Official ECCO consensus article — Section 4.3.2, "Strictures"; Statement 21.1, paragraph 1; paragraph beginning "Statement 21.1: While there are no data supporting..."</x:v>
      </x:c>
      <x:c r="F7" s="27" t="str">
        <x:v>Statement 21.1: While there are no data supporting a modified or low-fiber diet to manage stricturing Crohn’s disease (CD), mechanism-based reasoning suggests that a diet low in bulking fiber in people with stricturing CD and obstructive symptoms might reduce the risk of developing intestinal obstruction. (EL5) (Consensus: 100%)</x:v>
      </x:c>
      <x:c r="G7" s="27" t="str">
        <x:v>https://academic.oup.com/ecco-jcc/article/19/9/jjaf122/8198055</x:v>
      </x:c>
      <x:c r="H7" s="27" t="str">
        <x:v>/Users/janakirampulipati/ibd-research-review/sources/final-remediation/SRC-021-authoritative.html</x:v>
      </x:c>
      <x:c r="I7" s="27" t="str">
        <x:v>PASS_direct_support_and_numbered_locator</x:v>
      </x:c>
      <x:c r="J7" s="27" t="str">
        <x:v>Replaced false Abstract locator with Section 4.3.2, Statement 21.1. Narrowed the claim to preserve the no-data, mechanism-based, and obstructive-symptom limitations.</x:v>
      </x:c>
      <x:c r="K7" s="27" t="str">
        <x:v>pending_human_review</x:v>
      </x:c>
    </x:row>
    <x:row r="8" ht="108" customHeight="1">
      <x:c r="A8" s="27" t="str">
        <x:v>CLM-084</x:v>
      </x:c>
      <x:c r="B8" s="27" t="str">
        <x:v>SRC-022</x:v>
      </x:c>
      <x:c r="C8" s="27" t="str">
        <x:v>There is emerging evidence that dietary therapies may be beneficial in reducing the inflammatory burden in Crohn's disease.</x:v>
      </x:c>
      <x:c r="D8" s="27" t="str">
        <x:v>Official article webpage — heading "Abstract"; sentence containing exact excerpt SHA-256 28bb76336529</x:v>
      </x:c>
      <x:c r="E8" s="27" t="str">
        <x:v>Official ECCO guideline article — Section 3.8.2.1, "Dietary therapy for the induction of remission in CD"; Practice Point 2A, sentence 1</x:v>
      </x:c>
      <x:c r="F8" s="27" t="str">
        <x:v>Practice Point 2A. There is emerging evidence that dietary therapies may be beneficial in reducing the inflammatory burden in CD.</x:v>
      </x:c>
      <x:c r="G8" s="27" t="str">
        <x:v>https://academic.oup.com/ecco-jcc/article/18/10/1531/7693895</x:v>
      </x:c>
      <x:c r="H8" s="27" t="str">
        <x:v>/Users/janakirampulipati/ibd-research-review/sources/final-remediation/SRC-022-authoritative.html</x:v>
      </x:c>
      <x:c r="I8" s="27" t="str">
        <x:v>PASS_direct_support_and_numbered_locator</x:v>
      </x:c>
      <x:c r="J8" s="27" t="str">
        <x:v>Replaced false Abstract locator with Section 3.8.2.1, Practice Point 2A, sentence 1.</x:v>
      </x:c>
      <x:c r="K8" s="27" t="str">
        <x:v>pending_human_review</x:v>
      </x:c>
    </x:row>
    <x:row r="9" ht="108" customHeight="1">
      <x:c r="A9" s="27" t="str">
        <x:v>CLM-085</x:v>
      </x:c>
      <x:c r="B9" s="27" t="str">
        <x:v>SRC-022</x:v>
      </x:c>
      <x:c r="C9" s="27" t="str">
        <x:v>Dietary intervention should be considered based on disease activity, patient motivation, current evidence, and availability of dietetic support.</x:v>
      </x:c>
      <x:c r="D9" s="27" t="str">
        <x:v>Official article webpage — heading "Abstract"; sentence containing exact excerpt SHA-256 8a4db52772aa</x:v>
      </x:c>
      <x:c r="E9" s="27" t="str">
        <x:v>Official ECCO guideline article — Section 3.8.2.1, "Dietary therapy for the induction of remission in CD"; Practice Point 2A, sentence 3</x:v>
      </x:c>
      <x:c r="F9" s="27" t="str">
        <x:v>Dietary intervention should primarily be considered based on disease activity, the patient’s motivation, the current evidence, and the availability of dietetic support.</x:v>
      </x:c>
      <x:c r="G9" s="27" t="str">
        <x:v>https://academic.oup.com/ecco-jcc/article/18/10/1531/7693895</x:v>
      </x:c>
      <x:c r="H9" s="27" t="str">
        <x:v>/Users/janakirampulipati/ibd-research-review/sources/final-remediation/SRC-022-authoritative.html</x:v>
      </x:c>
      <x:c r="I9" s="27" t="str">
        <x:v>PASS_direct_support_and_numbered_locator</x:v>
      </x:c>
      <x:c r="J9" s="27" t="str">
        <x:v>Replaced false Abstract locator with Section 3.8.2.1, Practice Point 2A, sentence 3.</x:v>
      </x:c>
      <x:c r="K9" s="27" t="str">
        <x:v>pending_human_review</x:v>
      </x:c>
    </x:row>
    <x:row r="10" ht="108" customHeight="1">
      <x:c r="A10" s="28" t="str">
        <x:v>CLM-086</x:v>
      </x:c>
      <x:c r="B10" s="28" t="str">
        <x:v>SRC-022</x:v>
      </x:c>
      <x:c r="C10" s="28" t="str">
        <x:v>Partial enteral nutrition might be considered for maintaining remission in a subset of patients who can tolerate formula with routine monitoring.</x:v>
      </x:c>
      <x:c r="D10" s="28" t="str">
        <x:v>Official article webpage — heading "Abstract"; sentence containing exact excerpt SHA-256 2526116d492e</x:v>
      </x:c>
      <x:c r="E10" s="28" t="str">
        <x:v>Official ECCO guideline article — Section 3.8.2.2, "Dietary therapy for the maintenance of remission in CD"; Practice Point 2B, sentence 1</x:v>
      </x:c>
      <x:c r="F10" s="28" t="str">
        <x:v>Practice Point 2B. Partial enteral nutrition might be considered as a strategy for maintaining remission, with or without additional medication, in a subset of patients who are willing and able to tolerate the formula with routine monitoring. [Consensus: 100%]</x:v>
      </x:c>
      <x:c r="G10" s="28" t="str">
        <x:v>https://academic.oup.com/ecco-jcc/article/18/10/1531/7693895</x:v>
      </x:c>
      <x:c r="H10" s="28" t="str">
        <x:v>/Users/janakirampulipati/ibd-research-review/sources/final-remediation/SRC-022-authoritative.html</x:v>
      </x:c>
      <x:c r="I10" s="28" t="str">
        <x:v>PASS_direct_support_and_numbered_locator</x:v>
      </x:c>
      <x:c r="J10" s="28" t="str">
        <x:v>Replaced false Abstract locator with Section 3.8.2.2, Practice Point 2B, sentence 1.</x:v>
      </x:c>
      <x:c r="K10" s="28" t="str">
        <x:v>pending_human_review</x:v>
      </x:c>
    </x:row>
  </x:sheetData>
  <x:mergeCells>
    <x:mergeCell ref="A1:K1"/>
    <x:mergeCell ref="A2:K2"/>
  </x:mergeCells>
  <x:conditionalFormatting sqref="I5:I10">
    <x:cfRule type="containsText" dxfId="18" priority="1" operator="containsText" text="PASS"/>
    <x:cfRule type="containsText" dxfId="19" priority="2" operator="containsText" text="ready"/>
    <x:cfRule type="containsText" dxfId="20" priority="3" operator="containsText" text="supported"/>
    <x:cfRule type="containsText" dxfId="21" priority="4" operator="containsText" text="pending"/>
    <x:cfRule type="containsText" dxfId="22" priority="5" operator="containsText" text="needs"/>
    <x:cfRule type="containsText" dxfId="23" priority="6" operator="containsText" text="unresolved"/>
    <x:cfRule type="containsText" dxfId="24" priority="7" operator="containsText" text="excluded"/>
    <x:cfRule type="containsText" dxfId="25" priority="8" operator="containsText" text="removed"/>
    <x:cfRule type="containsText" dxfId="26" priority="9" operator="containsText" text="superseded"/>
  </x:conditionalFormatting>
  <x:pageMargins left="0.7" right="0.7" top="0.75" bottom="0.75" header="0.3" footer="0.3"/>
  <x:tableParts count="1">
    <x:tablePart xmlns:r="http://schemas.openxmlformats.org/officeDocument/2006/relationships" r:id="Rdf6dbca6b7154785"/>
  </x:tableParts>
</x:worksheet>
</file>

<file path=xl/worksheets/sheet4.xml><?xml version="1.0" encoding="utf-8"?>
<x:worksheet xmlns:x="http://schemas.openxmlformats.org/spreadsheetml/2006/main">
  <x:sheetViews>
    <x:sheetView showGridLines="0" workbookViewId="0"/>
  </x:sheetViews>
  <x:sheetFormatPr defaultRowHeight="15"/>
  <x:cols>
    <x:col min="1" max="1" width="16" hidden="0" customWidth="1"/>
    <x:col min="2" max="2" width="52" hidden="0" customWidth="1"/>
    <x:col min="3" max="3" width="24" hidden="0" customWidth="1"/>
    <x:col min="4" max="4" width="34" hidden="0" customWidth="1"/>
    <x:col min="5" max="5" width="15" hidden="0" customWidth="1"/>
    <x:col min="6" max="6" width="62" hidden="0" customWidth="1"/>
    <x:col min="7" max="7" width="60" hidden="0" customWidth="1"/>
    <x:col min="8" max="8" width="44" hidden="0" customWidth="1"/>
    <x:col min="9" max="9" width="28" hidden="0" customWidth="1"/>
  </x:cols>
  <x:sheetData>
    <x:row r="1" ht="31" customHeight="1">
      <x:c r="A1" s="3" t="str">
        <x:v>CLM-097 atomicity and support remediation</x:v>
      </x:c>
      <x:c r="B1" s="3"/>
      <x:c r="C1" s="3"/>
      <x:c r="D1" s="3"/>
      <x:c r="E1" s="3"/>
      <x:c r="F1" s="3"/>
      <x:c r="G1" s="3"/>
      <x:c r="H1" s="3"/>
      <x:c r="I1" s="3"/>
    </x:row>
    <x:row r="2" ht="46" customHeight="1">
      <x:c r="A2" s="7" t="str">
        <x:v>The former three-part claim is narrowed to one atomic claim and its independently supported pediatric, adult, and long-term-data assertions are split to unique IDs.</x:v>
      </x:c>
      <x:c r="B2" s="7"/>
      <x:c r="C2" s="7"/>
      <x:c r="D2" s="7"/>
      <x:c r="E2" s="7"/>
      <x:c r="F2" s="7"/>
      <x:c r="G2" s="7"/>
      <x:c r="H2" s="7"/>
      <x:c r="I2" s="7"/>
    </x:row>
    <x:row r="4" ht="42" customHeight="1">
      <x:c r="A4" s="16" t="str">
        <x:v>Assertion ID</x:v>
      </x:c>
      <x:c r="B4" s="17" t="str">
        <x:v>Pre-remediation assertion</x:v>
      </x:c>
      <x:c r="C4" s="17" t="str">
        <x:v>Support status</x:v>
      </x:c>
      <x:c r="D4" s="17" t="str">
        <x:v>Final disposition</x:v>
      </x:c>
      <x:c r="E4" s="17" t="str">
        <x:v>Final claim ID</x:v>
      </x:c>
      <x:c r="F4" s="17" t="str">
        <x:v>Exact supporting excerpt</x:v>
      </x:c>
      <x:c r="G4" s="17" t="str">
        <x:v>Page, section, recommendation, and paragraph locator</x:v>
      </x:c>
      <x:c r="H4" s="17" t="str">
        <x:v>Official ESPEN URL</x:v>
      </x:c>
      <x:c r="I4" s="18" t="str">
        <x:v>Verification status</x:v>
      </x:c>
    </x:row>
    <x:row r="5" ht="106" customHeight="1">
      <x:c r="A5" s="26" t="str">
        <x:v>CLM-097-A</x:v>
      </x:c>
      <x:c r="B5" s="26" t="str">
        <x:v>No single oral diet can be recommended for all active IBD.</x:v>
      </x:c>
      <x:c r="C5" s="26" t="str">
        <x:v>supported</x:v>
      </x:c>
      <x:c r="D5" s="26" t="str">
        <x:v>Retained as narrowed atomic CLM-097</x:v>
      </x:c>
      <x:c r="E5" s="26" t="str">
        <x:v>CLM-097</x:v>
      </x:c>
      <x:c r="F5" s="26" t="str">
        <x:v>Therefore, no “oral IBD diet” can be generally recommended to promote remission in patients with IBD with active disease.</x:v>
      </x:c>
      <x:c r="G5" s="26" t="str">
        <x:v>Official ESPEN PDF — journal page 357, Section 5 "Dietetic recommendations in active disease"; Recommendation 15 commentary, final paragraph beginning "Therefore, no oral IBD diet..."</x:v>
      </x:c>
      <x:c r="H5" s="26" t="str">
        <x:v>https://www.espen.org/files/ESPEN-Guidelines/ESPEN_guideline_on_Clinical_nutrition_in_inflammatory_bowel_disease.pdf</x:v>
      </x:c>
      <x:c r="I5" s="26" t="str">
        <x:v>PASS_direct_support</x:v>
      </x:c>
    </x:row>
    <x:row r="6" ht="106" customHeight="1">
      <x:c r="A6" s="27" t="str">
        <x:v>CLM-097-B1</x:v>
      </x:c>
      <x:c r="B6" s="27" t="str">
        <x:v>A pediatric Crohn’s disease exclusion-diet approach is supported.</x:v>
      </x:c>
      <x:c r="C6" s="27" t="str">
        <x:v>independently supported</x:v>
      </x:c>
      <x:c r="D6" s="27" t="str">
        <x:v>Split to atomic CLM-098</x:v>
      </x:c>
      <x:c r="E6" s="27" t="str">
        <x:v>CLM-098</x:v>
      </x:c>
      <x:c r="F6" s="27" t="str">
        <x:v>CD exclusion diet (plus partial EN) should be considered as an alternative to exclusive EN in pediatric patients with mild to moderate CD to achieve remission.</x:v>
      </x:c>
      <x:c r="G6" s="27" t="str">
        <x:v>Official ESPEN PDF — journal page 357, Section 5 "Dietetic recommendations in active disease"; Recommendation 16</x:v>
      </x:c>
      <x:c r="H6" s="27" t="str">
        <x:v>https://www.espen.org/files/ESPEN-Guidelines/ESPEN_guideline_on_Clinical_nutrition_in_inflammatory_bowel_disease.pdf</x:v>
      </x:c>
      <x:c r="I6" s="27" t="str">
        <x:v>PASS_direct_support</x:v>
      </x:c>
    </x:row>
    <x:row r="7" ht="106" customHeight="1">
      <x:c r="A7" s="27" t="str">
        <x:v>CLM-097-B2</x:v>
      </x:c>
      <x:c r="B7" s="27" t="str">
        <x:v>An adult Crohn’s disease exclusion-diet approach is supported.</x:v>
      </x:c>
      <x:c r="C7" s="27" t="str">
        <x:v>independently supported</x:v>
      </x:c>
      <x:c r="D7" s="27" t="str">
        <x:v>Split to atomic CLM-099</x:v>
      </x:c>
      <x:c r="E7" s="27" t="str">
        <x:v>CLM-099</x:v>
      </x:c>
      <x:c r="F7" s="27" t="str">
        <x:v>In adult patients, a CD exclusion diet can be considered with or without EN in mild to moderate active CD.</x:v>
      </x:c>
      <x:c r="G7" s="27" t="str">
        <x:v>Official ESPEN PDF — journal page 357, Section 5 "Dietetic recommendations in active disease"; Recommendation 17</x:v>
      </x:c>
      <x:c r="H7" s="27" t="str">
        <x:v>https://www.espen.org/files/ESPEN-Guidelines/ESPEN_guideline_on_Clinical_nutrition_in_inflammatory_bowel_disease.pdf</x:v>
      </x:c>
      <x:c r="I7" s="27" t="str">
        <x:v>PASS_direct_support</x:v>
      </x:c>
    </x:row>
    <x:row r="8" ht="106" customHeight="1">
      <x:c r="A8" s="28" t="str">
        <x:v>CLM-097-C</x:v>
      </x:c>
      <x:c r="B8" s="28" t="str">
        <x:v>Long-term effectiveness and possible-risk data are limited.</x:v>
      </x:c>
      <x:c r="C8" s="28" t="str">
        <x:v>independently supported</x:v>
      </x:c>
      <x:c r="D8" s="28" t="str">
        <x:v>Split to atomic CLM-100</x:v>
      </x:c>
      <x:c r="E8" s="28" t="str">
        <x:v>CLM-100</x:v>
      </x:c>
      <x:c r="F8" s="28" t="str">
        <x:v>Data on long-term effectiveness and possible risk of nutritional deficiencies or eating behavior disturbances due to long-term use of exclusion diets are not (yet) available.</x:v>
      </x:c>
      <x:c r="G8" s="28" t="str">
        <x:v>Official ESPEN PDF — journal page 357, Section 5 "Dietetic recommendations in active disease"; commentary for Recommendations 16 and 17, paragraph ending immediately before Recommendation 18</x:v>
      </x:c>
      <x:c r="H8" s="28" t="str">
        <x:v>https://www.espen.org/files/ESPEN-Guidelines/ESPEN_guideline_on_Clinical_nutrition_in_inflammatory_bowel_disease.pdf</x:v>
      </x:c>
      <x:c r="I8" s="28" t="str">
        <x:v>PASS_direct_support</x:v>
      </x:c>
    </x:row>
  </x:sheetData>
  <x:mergeCells>
    <x:mergeCell ref="A1:I1"/>
    <x:mergeCell ref="A2:I2"/>
  </x:mergeCells>
  <x:conditionalFormatting sqref="I5:I8">
    <x:cfRule type="containsText" dxfId="27" priority="1" operator="containsText" text="PASS"/>
    <x:cfRule type="containsText" dxfId="28" priority="2" operator="containsText" text="ready"/>
    <x:cfRule type="containsText" dxfId="29" priority="3" operator="containsText" text="supported"/>
    <x:cfRule type="containsText" dxfId="30" priority="4" operator="containsText" text="pending"/>
    <x:cfRule type="containsText" dxfId="31" priority="5" operator="containsText" text="needs"/>
    <x:cfRule type="containsText" dxfId="32" priority="6" operator="containsText" text="unresolved"/>
    <x:cfRule type="containsText" dxfId="33" priority="7" operator="containsText" text="excluded"/>
    <x:cfRule type="containsText" dxfId="34" priority="8" operator="containsText" text="removed"/>
    <x:cfRule type="containsText" dxfId="35" priority="9" operator="containsText" text="superseded"/>
  </x:conditionalFormatting>
  <x:pageMargins left="0.7" right="0.7" top="0.75" bottom="0.75" header="0.3" footer="0.3"/>
  <x:tableParts count="1">
    <x:tablePart xmlns:r="http://schemas.openxmlformats.org/officeDocument/2006/relationships" r:id="Rf32c79fdf893457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12" hidden="0" customWidth="1"/>
    <x:col min="2" max="2" width="12" hidden="0" customWidth="1"/>
    <x:col min="3" max="3" width="42" hidden="0" customWidth="1"/>
    <x:col min="4" max="4" width="58" hidden="0" customWidth="1"/>
    <x:col min="5" max="5" width="56" hidden="0" customWidth="1"/>
    <x:col min="6" max="6" width="48" hidden="0" customWidth="1"/>
    <x:col min="7" max="7" width="26" hidden="0" customWidth="1"/>
    <x:col min="8" max="8" width="34" hidden="0" customWidth="1"/>
    <x:col min="9" max="9" width="46" hidden="0" customWidth="1"/>
    <x:col min="10" max="10" width="60" hidden="0" customWidth="1"/>
    <x:col min="11" max="11" width="42" hidden="0" customWidth="1"/>
    <x:col min="12" max="12" width="23" hidden="0" customWidth="1"/>
    <x:col min="13" max="13" width="22" hidden="0" customWidth="1"/>
    <x:col min="14" max="14" width="48" hidden="0" customWidth="1"/>
    <x:col min="15" max="15" width="38" hidden="0" customWidth="1"/>
  </x:cols>
  <x:sheetData>
    <x:row r="1" ht="31" customHeight="1">
      <x:c r="A1" s="3" t="str">
        <x:v>Unresolved claims — explicitly excluded</x:v>
      </x:c>
      <x:c r="B1" s="3"/>
      <x:c r="C1" s="3"/>
      <x:c r="D1" s="3"/>
      <x:c r="E1" s="3"/>
      <x:c r="F1" s="3"/>
      <x:c r="G1" s="3"/>
      <x:c r="H1" s="3"/>
      <x:c r="I1" s="3"/>
      <x:c r="J1" s="3"/>
      <x:c r="K1" s="3"/>
      <x:c r="L1" s="3"/>
      <x:c r="M1" s="3"/>
      <x:c r="N1" s="3"/>
      <x:c r="O1" s="3"/>
    </x:row>
    <x:row r="2" ht="46" customHeight="1">
      <x:c r="A2" s="7" t="str">
        <x:v>CLM-092 was not researched in this run. It remains needs_more_evidence, is not approval-ready, and is excluded from any future approved-data export until resolved and explicitly approved.</x:v>
      </x:c>
      <x:c r="B2" s="7"/>
      <x:c r="C2" s="7"/>
      <x:c r="D2" s="7"/>
      <x:c r="E2" s="7"/>
      <x:c r="F2" s="7"/>
      <x:c r="G2" s="7"/>
      <x:c r="H2" s="7"/>
      <x:c r="I2" s="7"/>
      <x:c r="J2" s="7"/>
      <x:c r="K2" s="7"/>
      <x:c r="L2" s="7"/>
      <x:c r="M2" s="7"/>
      <x:c r="N2" s="7"/>
      <x:c r="O2" s="7"/>
    </x:row>
    <x:row r="4" ht="42" customHeight="1">
      <x:c r="A4" s="16" t="str">
        <x:v>Claim ID</x:v>
      </x:c>
      <x:c r="B4" s="17" t="str">
        <x:v>Source ID</x:v>
      </x:c>
      <x:c r="C4" s="17" t="str">
        <x:v>Source title</x:v>
      </x:c>
      <x:c r="D4" s="17" t="str">
        <x:v>Current limited claim</x:v>
      </x:c>
      <x:c r="E4" s="17" t="str">
        <x:v>Supporting excerpt</x:v>
      </x:c>
      <x:c r="F4" s="17" t="str">
        <x:v>Locator</x:v>
      </x:c>
      <x:c r="G4" s="17" t="str">
        <x:v>Evidence status</x:v>
      </x:c>
      <x:c r="H4" s="17" t="str">
        <x:v>Final-QA eligibility</x:v>
      </x:c>
      <x:c r="I4" s="17" t="str">
        <x:v>Future approved-export eligibility</x:v>
      </x:c>
      <x:c r="J4" s="17" t="str">
        <x:v>Evidence still missing</x:v>
      </x:c>
      <x:c r="K4" s="17" t="str">
        <x:v>Remediation note</x:v>
      </x:c>
      <x:c r="L4" s="17" t="str">
        <x:v>Review status</x:v>
      </x:c>
      <x:c r="M4" s="17" t="str">
        <x:v>User decision</x:v>
      </x:c>
      <x:c r="N4" s="17" t="str">
        <x:v>User-edited claim</x:v>
      </x:c>
      <x:c r="O4" s="18" t="str">
        <x:v>Reviewer notes</x:v>
      </x:c>
    </x:row>
    <x:row r="5" ht="112" customHeight="1">
      <x:c r="A5" s="33" t="str">
        <x:v>CLM-092</x:v>
      </x:c>
      <x:c r="B5" s="33" t="str">
        <x:v>SRC-024</x:v>
      </x:c>
      <x:c r="C5" s="33" t="str">
        <x:v>What Should I Eat with IBD?</x:v>
      </x:c>
      <x:c r="D5" s="33" t="str">
        <x:v>The cited source reports that disordered eating is common in people with GI diseases and is associated with worse disease outcomes 2 . This is population-level association evidence and does not establish causation or predict an individual's disease course. The webpage version date should be confirmed before approval.</x:v>
      </x:c>
      <x:c r="E5" s="33" t="str">
        <x:v>Disordered eating is common in people with GI diseases and is associated with worse disease outcomes 2 .</x:v>
      </x:c>
      <x:c r="F5" s="33" t="str">
        <x:v>Official Crohn’s &amp; Colitis Foundation webpage — heading "Important points to keep in mind"; bullet 2</x:v>
      </x:c>
      <x:c r="G5" s="33" t="str">
        <x:v>still_needs_evidence</x:v>
      </x:c>
      <x:c r="H5" s="33" t="str">
        <x:v>unresolved_not_approval_ready</x:v>
      </x:c>
      <x:c r="I5" s="33" t="str">
        <x:v>excluded_until_evidence_resolved_and_explicitly_approved</x:v>
      </x:c>
      <x:c r="J5" s="33" t="str">
        <x:v>The webpage version date remains unconfirmed, and the broad claim that disordered eating is associated with worse disease outcomes lacks sufficiently specific, directly appraised evidence in this package.</x:v>
      </x:c>
      <x:c r="K5" s="33" t="str">
        <x:v>Status preserved without additional research, as required.</x:v>
      </x:c>
      <x:c r="L5" s="33" t="str">
        <x:v>pending_human_review</x:v>
      </x:c>
      <x:c r="M5" s="34" t="str"/>
      <x:c r="N5" s="34" t="str"/>
      <x:c r="O5" s="34" t="str"/>
    </x:row>
  </x:sheetData>
  <x:mergeCells>
    <x:mergeCell ref="A1:O1"/>
    <x:mergeCell ref="A2:O2"/>
  </x:mergeCells>
  <x:conditionalFormatting sqref="G5:G5">
    <x:cfRule type="containsText" dxfId="36" priority="1" operator="containsText" text="PASS"/>
    <x:cfRule type="containsText" dxfId="37" priority="2" operator="containsText" text="ready"/>
    <x:cfRule type="containsText" dxfId="38" priority="3" operator="containsText" text="supported"/>
    <x:cfRule type="containsText" dxfId="39" priority="4" operator="containsText" text="pending"/>
    <x:cfRule type="containsText" dxfId="40" priority="5" operator="containsText" text="needs"/>
    <x:cfRule type="containsText" dxfId="41" priority="6" operator="containsText" text="unresolved"/>
    <x:cfRule type="containsText" dxfId="42" priority="7" operator="containsText" text="excluded"/>
    <x:cfRule type="containsText" dxfId="43" priority="8" operator="containsText" text="removed"/>
    <x:cfRule type="containsText" dxfId="44" priority="9" operator="containsText" text="superseded"/>
  </x:conditionalFormatting>
  <x:pageMargins left="0.7" right="0.7" top="0.75" bottom="0.75" header="0.3" footer="0.3"/>
  <x:tableParts count="1">
    <x:tablePart xmlns:r="http://schemas.openxmlformats.org/officeDocument/2006/relationships" r:id="Re6b51d5c0ba54f2b"/>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7" hidden="0" customWidth="1"/>
    <x:col min="2" max="2" width="17" hidden="0" customWidth="1"/>
    <x:col min="3" max="3" width="60" hidden="0" customWidth="1"/>
    <x:col min="4" max="4" width="28" hidden="0" customWidth="1"/>
    <x:col min="5" max="5" width="32" hidden="0" customWidth="1"/>
    <x:col min="6" max="6" width="20" hidden="0" customWidth="1"/>
    <x:col min="7" max="7" width="54" hidden="0" customWidth="1"/>
    <x:col min="8" max="8" width="50" hidden="0" customWidth="1"/>
    <x:col min="9" max="9" width="23" hidden="0" customWidth="1"/>
  </x:cols>
  <x:sheetData>
    <x:row r="1" ht="31" customHeight="1">
      <x:c r="A1" s="3" t="str">
        <x:v>Removed, replaced, narrowed, and split claims — audit trail</x:v>
      </x:c>
      <x:c r="B1" s="3"/>
      <x:c r="C1" s="3"/>
      <x:c r="D1" s="3"/>
      <x:c r="E1" s="3"/>
      <x:c r="F1" s="3"/>
      <x:c r="G1" s="3"/>
      <x:c r="H1" s="3"/>
      <x:c r="I1" s="3"/>
    </x:row>
    <x:row r="2" ht="46" customHeight="1">
      <x:c r="A2" s="7" t="str">
        <x:v>The existing 37 removals and two original replacements are preserved. A final row records CLM-097’s narrowing and split without deleting its original wording.</x:v>
      </x:c>
      <x:c r="B2" s="7"/>
      <x:c r="C2" s="7"/>
      <x:c r="D2" s="7"/>
      <x:c r="E2" s="7"/>
      <x:c r="F2" s="7"/>
      <x:c r="G2" s="7"/>
      <x:c r="H2" s="7"/>
      <x:c r="I2" s="7"/>
    </x:row>
    <x:row r="4" ht="42" customHeight="1">
      <x:c r="A4" s="16" t="str">
        <x:v>Original claim ID</x:v>
      </x:c>
      <x:c r="B4" s="17" t="str">
        <x:v>Original source ID</x:v>
      </x:c>
      <x:c r="C4" s="17" t="str">
        <x:v>Original or pre-remediation claim</x:v>
      </x:c>
      <x:c r="D4" s="17" t="str">
        <x:v>Accounting category</x:v>
      </x:c>
      <x:c r="E4" s="17" t="str">
        <x:v>Replacement/final claim IDs</x:v>
      </x:c>
      <x:c r="F4" s="17" t="str">
        <x:v>Replacement source</x:v>
      </x:c>
      <x:c r="G4" s="17" t="str">
        <x:v>Removal/replacement reason</x:v>
      </x:c>
      <x:c r="H4" s="17" t="str">
        <x:v>Archive/audit path</x:v>
      </x:c>
      <x:c r="I4" s="18" t="str">
        <x:v>Review status</x:v>
      </x:c>
    </x:row>
    <x:row r="5" ht="84" customHeight="1">
      <x:c r="A5" s="26" t="str">
        <x:v>CLM-001</x:v>
      </x:c>
      <x:c r="B5" s="26" t="str">
        <x:v>SRC-001</x:v>
      </x:c>
      <x:c r="C5" s="26" t="str">
        <x:v>Formulated through a systematic and transparent process, this document reflects a consensus of best practices based on current evidence.</x:v>
      </x:c>
      <x:c r="D5" s="26" t="str">
        <x:v>removed</x:v>
      </x:c>
      <x:c r="E5" s="26" t="str"/>
      <x:c r="F5" s="26" t="str"/>
      <x:c r="G5" s="26" t="str">
        <x:v>This is a methods, background, sample-description, vague, or non-actionable sentence rather than a safe atomic evidence claim; or it falls outside the product's non-diagnostic, non-treatment scope.</x:v>
      </x:c>
      <x:c r="H5" s="26" t="str">
        <x:v>/Users/janakirampulipati/ibd-research-review/archive/removed-claims/removed-and-replaced-claims.json</x:v>
      </x:c>
      <x:c r="I5" s="26" t="str">
        <x:v>pending_human_review</x:v>
      </x:c>
    </x:row>
    <x:row r="6" ht="84" customHeight="1">
      <x:c r="A6" s="27" t="str">
        <x:v>CLM-002</x:v>
      </x:c>
      <x:c r="B6" s="27" t="str">
        <x:v>SRC-001</x:v>
      </x:c>
      <x:c r="C6" s="27" t="str">
        <x:v>In developing the recommendations, 89 clinical experts and stakeholders participated in an online survey, identifying primary outcomes, such as clinical and endoscopic remission, as well as adverse event metrics, all stratified by clinically relevant effect sizes.</x:v>
      </x:c>
      <x:c r="D6" s="27" t="str">
        <x:v>removed</x:v>
      </x:c>
      <x:c r="E6" s="27" t="str"/>
      <x:c r="F6" s="27" t="str"/>
      <x:c r="G6" s="27" t="str">
        <x:v>This is a methods, background, sample-description, vague, or non-actionable sentence rather than a safe atomic evidence claim; or it falls outside the product's non-diagnostic, non-treatment scope.</x:v>
      </x:c>
      <x:c r="H6" s="27" t="str">
        <x:v>/Users/janakirampulipati/ibd-research-review/archive/removed-claims/removed-and-replaced-claims.json</x:v>
      </x:c>
      <x:c r="I6" s="27" t="str">
        <x:v>pending_human_review</x:v>
      </x:c>
    </x:row>
    <x:row r="7" ht="84" customHeight="1">
      <x:c r="A7" s="27" t="str">
        <x:v>CLM-003</x:v>
      </x:c>
      <x:c r="B7" s="27" t="str">
        <x:v>SRC-001</x:v>
      </x:c>
      <x:c r="C7" s="27" t="str">
        <x:v>Further research may inform future revisions as new evidence emerges.</x:v>
      </x:c>
      <x:c r="D7" s="27" t="str">
        <x:v>removed</x:v>
      </x:c>
      <x:c r="E7" s="27" t="str"/>
      <x:c r="F7" s="27" t="str"/>
      <x:c r="G7" s="27" t="str">
        <x:v>This is a methods, background, sample-description, vague, or non-actionable sentence rather than a safe atomic evidence claim; or it falls outside the product's non-diagnostic, non-treatment scope.</x:v>
      </x:c>
      <x:c r="H7" s="27" t="str">
        <x:v>/Users/janakirampulipati/ibd-research-review/archive/removed-claims/removed-and-replaced-claims.json</x:v>
      </x:c>
      <x:c r="I7" s="27" t="str">
        <x:v>pending_human_review</x:v>
      </x:c>
    </x:row>
    <x:row r="8" ht="84" customHeight="1">
      <x:c r="A8" s="27" t="str">
        <x:v>CLM-004</x:v>
      </x:c>
      <x:c r="B8" s="27" t="str">
        <x:v>SRC-001</x:v>
      </x:c>
      <x:c r="C8" s="27" t="str">
        <x:v>In response to recent advancements in inflammatory bowel disease (IBD) management, the British Society of Gastroenterology (BSG) Clinical Services and Standards Committee (CSSC) has commissioned the BSG IBD section to update its guidelines, last revised in 2019.</x:v>
      </x:c>
      <x:c r="D8" s="27" t="str">
        <x:v>removed</x:v>
      </x:c>
      <x:c r="E8" s="27" t="str"/>
      <x:c r="F8" s="27" t="str"/>
      <x:c r="G8" s="27" t="str">
        <x:v>This is a methods, background, sample-description, vague, or non-actionable sentence rather than a safe atomic evidence claim; or it falls outside the product's non-diagnostic, non-treatment scope.</x:v>
      </x:c>
      <x:c r="H8" s="27" t="str">
        <x:v>/Users/janakirampulipati/ibd-research-review/archive/removed-claims/removed-and-replaced-claims.json</x:v>
      </x:c>
      <x:c r="I8" s="27" t="str">
        <x:v>pending_human_review</x:v>
      </x:c>
    </x:row>
    <x:row r="9" ht="84" customHeight="1">
      <x:c r="A9" s="27" t="str">
        <x:v>CLM-007</x:v>
      </x:c>
      <x:c r="B9" s="27" t="str">
        <x:v>SRC-002</x:v>
      </x:c>
      <x:c r="C9" s="27" t="str">
        <x:v>Serum proteins are no longer recommended for the identification and diagnosis of malnutrition due to their lack of specificity for nutritional status and high sensitivity to inflammation.</x:v>
      </x:c>
      <x:c r="D9" s="27" t="str">
        <x:v>removed</x:v>
      </x:c>
      <x:c r="E9" s="27" t="str"/>
      <x:c r="F9" s="27" t="str"/>
      <x:c r="G9" s="27" t="str">
        <x:v>This is a methods, background, sample-description, vague, or non-actionable sentence rather than a safe atomic evidence claim; or it falls outside the product's non-diagnostic, non-treatment scope.</x:v>
      </x:c>
      <x:c r="H9" s="27" t="str">
        <x:v>/Users/janakirampulipati/ibd-research-review/archive/removed-claims/removed-and-replaced-claims.json</x:v>
      </x:c>
      <x:c r="I9" s="27" t="str">
        <x:v>pending_human_review</x:v>
      </x:c>
    </x:row>
    <x:row r="10" ht="84" customHeight="1">
      <x:c r="A10" s="27" t="str">
        <x:v>CLM-009</x:v>
      </x:c>
      <x:c r="B10" s="27" t="str">
        <x:v>SRC-003</x:v>
      </x:c>
      <x:c r="C10" s="27" t="str">
        <x:v>Treatment of iron deficiency (parenterally if necessary) is strongly recommended.</x:v>
      </x:c>
      <x:c r="D10" s="27" t="str">
        <x:v>removed</x:v>
      </x:c>
      <x:c r="E10" s="27" t="str"/>
      <x:c r="F10" s="27" t="str"/>
      <x:c r="G10" s="27" t="str">
        <x:v>This is a methods, background, sample-description, vague, or non-actionable sentence rather than a safe atomic evidence claim; or it falls outside the product's non-diagnostic, non-treatment scope.</x:v>
      </x:c>
      <x:c r="H10" s="27" t="str">
        <x:v>/Users/janakirampulipati/ibd-research-review/archive/removed-claims/removed-and-replaced-claims.json</x:v>
      </x:c>
      <x:c r="I10" s="27" t="str">
        <x:v>pending_human_review</x:v>
      </x:c>
    </x:row>
    <x:row r="11" ht="84" customHeight="1">
      <x:c r="A11" s="27" t="str">
        <x:v>CLM-010</x:v>
      </x:c>
      <x:c r="B11" s="27" t="str">
        <x:v>SRC-003</x:v>
      </x:c>
      <x:c r="C11" s="27" t="str">
        <x:v>The recommended perioperative management of patients with IBD undergoing surgery accords with general ESPEN guidance for patients having abdominal surgery.</x:v>
      </x:c>
      <x:c r="D11" s="27" t="str">
        <x:v>replaced by new</x:v>
      </x:c>
      <x:c r="E11" s="27" t="str">
        <x:v>CLM-096</x:v>
      </x:c>
      <x:c r="F11" s="27" t="str">
        <x:v>SRC-026</x:v>
      </x:c>
      <x:c r="G11" s="27" t="str">
        <x:v>Superseded source replaced with the 2023 update.</x:v>
      </x:c>
      <x:c r="H11" s="27" t="str">
        <x:v>/Users/janakirampulipati/ibd-research-review/archive/removed-claims/removed-and-replaced-claims.json</x:v>
      </x:c>
      <x:c r="I11" s="27" t="str">
        <x:v>pending_human_review</x:v>
      </x:c>
    </x:row>
    <x:row r="12" ht="84" customHeight="1">
      <x:c r="A12" s="27" t="str">
        <x:v>CLM-011</x:v>
      </x:c>
      <x:c r="B12" s="27" t="str">
        <x:v>SRC-003</x:v>
      </x:c>
      <x:c r="C12" s="27" t="str">
        <x:v>However, exclusion diets are generally not recommended and there is little evidence to support any particular formula feed when nutritional regimens are constructed.</x:v>
      </x:c>
      <x:c r="D12" s="27" t="str">
        <x:v>replaced by new</x:v>
      </x:c>
      <x:c r="E12" s="27" t="str">
        <x:v>CLM-097</x:v>
      </x:c>
      <x:c r="F12" s="27" t="str">
        <x:v>SRC-026</x:v>
      </x:c>
      <x:c r="G12" s="27" t="str">
        <x:v>Superseded source replaced with the 2023 update.</x:v>
      </x:c>
      <x:c r="H12" s="27" t="str">
        <x:v>/Users/janakirampulipati/ibd-research-review/archive/removed-claims/removed-and-replaced-claims.json</x:v>
      </x:c>
      <x:c r="I12" s="27" t="str">
        <x:v>pending_human_review</x:v>
      </x:c>
    </x:row>
    <x:row r="13" ht="84" customHeight="1">
      <x:c r="A13" s="27" t="str">
        <x:v>CLM-012</x:v>
      </x:c>
      <x:c r="B13" s="27" t="str">
        <x:v>SRC-003</x:v>
      </x:c>
      <x:c r="C13" s="27" t="str">
        <x:v>The conclusions and 64 recommendations have been subject to full peer review and a Delphi process in which uniformly positive responses (agree or strongly agree) were required.</x:v>
      </x:c>
      <x:c r="D13" s="27" t="str">
        <x:v>removed</x:v>
      </x:c>
      <x:c r="E13" s="27" t="str"/>
      <x:c r="F13" s="27" t="str"/>
      <x:c r="G13" s="27" t="str">
        <x:v>This is a methods, background, sample-description, vague, or non-actionable sentence rather than a safe atomic evidence claim; or it falls outside the product's non-diagnostic, non-treatment scope.</x:v>
      </x:c>
      <x:c r="H13" s="27" t="str">
        <x:v>/Users/janakirampulipati/ibd-research-review/archive/removed-claims/removed-and-replaced-claims.json</x:v>
      </x:c>
      <x:c r="I13" s="27" t="str">
        <x:v>pending_human_review</x:v>
      </x:c>
    </x:row>
    <x:row r="14" ht="84" customHeight="1">
      <x:c r="A14" s="27" t="str">
        <x:v>CLM-016</x:v>
      </x:c>
      <x:c r="B14" s="27" t="str">
        <x:v>SRC-004</x:v>
      </x:c>
      <x:c r="C14" s="27" t="str">
        <x:v>This umbrella review comprehensively synthesizes evidence from systematic reviews and meta-analyses to evaluate these complex associations.</x:v>
      </x:c>
      <x:c r="D14" s="27" t="str">
        <x:v>removed</x:v>
      </x:c>
      <x:c r="E14" s="27" t="str"/>
      <x:c r="F14" s="27" t="str"/>
      <x:c r="G14" s="27" t="str">
        <x:v>This is a methods, background, sample-description, vague, or non-actionable sentence rather than a safe atomic evidence claim; or it falls outside the product's non-diagnostic, non-treatment scope.</x:v>
      </x:c>
      <x:c r="H14" s="27" t="str">
        <x:v>/Users/janakirampulipati/ibd-research-review/archive/removed-claims/removed-and-replaced-claims.json</x:v>
      </x:c>
      <x:c r="I14" s="27" t="str">
        <x:v>pending_human_review</x:v>
      </x:c>
    </x:row>
    <x:row r="15" ht="84" customHeight="1">
      <x:c r="A15" s="27" t="str">
        <x:v>CLM-020</x:v>
      </x:c>
      <x:c r="B15" s="27" t="str">
        <x:v>SRC-005</x:v>
      </x:c>
      <x:c r="C15" s="27" t="str">
        <x:v>BACKGROUND &amp; AIMS: This study aimed (1) to systematically review controlled trials of solid food diets for the treatment of inflammatory bowel disease (IBD); and (2) to grade the overall quality of evidence.</x:v>
      </x:c>
      <x:c r="D15" s="27" t="str">
        <x:v>removed</x:v>
      </x:c>
      <x:c r="E15" s="27" t="str"/>
      <x:c r="F15" s="27" t="str"/>
      <x:c r="G15" s="27" t="str">
        <x:v>This is a methods, background, sample-description, vague, or non-actionable sentence rather than a safe atomic evidence claim; or it falls outside the product's non-diagnostic, non-treatment scope.</x:v>
      </x:c>
      <x:c r="H15" s="27" t="str">
        <x:v>/Users/janakirampulipati/ibd-research-review/archive/removed-claims/removed-and-replaced-claims.json</x:v>
      </x:c>
      <x:c r="I15" s="27" t="str">
        <x:v>pending_human_review</x:v>
      </x:c>
    </x:row>
    <x:row r="16" ht="84" customHeight="1">
      <x:c r="A16" s="27" t="str">
        <x:v>CLM-027</x:v>
      </x:c>
      <x:c r="B16" s="27" t="str">
        <x:v>SRC-007</x:v>
      </x:c>
      <x:c r="C16" s="27" t="str">
        <x:v>RESULTS: A total of 1022 articles were evaluated, 35 articles were retained and 5 studies were added from review articles.</x:v>
      </x:c>
      <x:c r="D16" s="27" t="str">
        <x:v>removed</x:v>
      </x:c>
      <x:c r="E16" s="27" t="str"/>
      <x:c r="F16" s="27" t="str"/>
      <x:c r="G16" s="27" t="str">
        <x:v>This is a methods, background, sample-description, vague, or non-actionable sentence rather than a safe atomic evidence claim; or it falls outside the product's non-diagnostic, non-treatment scope.</x:v>
      </x:c>
      <x:c r="H16" s="27" t="str">
        <x:v>/Users/janakirampulipati/ibd-research-review/archive/removed-claims/removed-and-replaced-claims.json</x:v>
      </x:c>
      <x:c r="I16" s="27" t="str">
        <x:v>pending_human_review</x:v>
      </x:c>
    </x:row>
    <x:row r="17" ht="84" customHeight="1">
      <x:c r="A17" s="27" t="str">
        <x:v>CLM-032</x:v>
      </x:c>
      <x:c r="B17" s="27" t="str">
        <x:v>SRC-008</x:v>
      </x:c>
      <x:c r="C17" s="27" t="str">
        <x:v>We performed a systematic review including all the studies evaluating the connection between nutrition, nutrition status (including undernutrition and overnutrition), micronutrient deficiency, and both disease course and therapeutic response in Inflammatory Bowel Disease patients.</x:v>
      </x:c>
      <x:c r="D17" s="27" t="str">
        <x:v>removed</x:v>
      </x:c>
      <x:c r="E17" s="27" t="str"/>
      <x:c r="F17" s="27" t="str"/>
      <x:c r="G17" s="27" t="str">
        <x:v>This is a methods, background, sample-description, vague, or non-actionable sentence rather than a safe atomic evidence claim; or it falls outside the product's non-diagnostic, non-treatment scope.</x:v>
      </x:c>
      <x:c r="H17" s="27" t="str">
        <x:v>/Users/janakirampulipati/ibd-research-review/archive/removed-claims/removed-and-replaced-claims.json</x:v>
      </x:c>
      <x:c r="I17" s="27" t="str">
        <x:v>pending_human_review</x:v>
      </x:c>
    </x:row>
    <x:row r="18" ht="84" customHeight="1">
      <x:c r="A18" s="27" t="str">
        <x:v>CLM-034</x:v>
      </x:c>
      <x:c r="B18" s="27" t="str">
        <x:v>SRC-009</x:v>
      </x:c>
      <x:c r="C18" s="27" t="str">
        <x:v>Further studies should consider potential mechanisms to explain this result, including the role of subclinical inflammation and psychosocial factors that may influence sleep quality in people with IBD.</x:v>
      </x:c>
      <x:c r="D18" s="27" t="str">
        <x:v>removed</x:v>
      </x:c>
      <x:c r="E18" s="27" t="str"/>
      <x:c r="F18" s="27" t="str"/>
      <x:c r="G18" s="27" t="str">
        <x:v>This is a methods, background, sample-description, vague, or non-actionable sentence rather than a safe atomic evidence claim; or it falls outside the product's non-diagnostic, non-treatment scope.</x:v>
      </x:c>
      <x:c r="H18" s="27" t="str">
        <x:v>/Users/janakirampulipati/ibd-research-review/archive/removed-claims/removed-and-replaced-claims.json</x:v>
      </x:c>
      <x:c r="I18" s="27" t="str">
        <x:v>pending_human_review</x:v>
      </x:c>
    </x:row>
    <x:row r="19" ht="84" customHeight="1">
      <x:c r="A19" s="27" t="str">
        <x:v>CLM-035</x:v>
      </x:c>
      <x:c r="B19" s="27" t="str">
        <x:v>SRC-009</x:v>
      </x:c>
      <x:c r="C19" s="27" t="str">
        <x:v>This meta-analysis aimed to assess the prevalence of poor sleep in inactive IBD and in controls by considering cohort and cross-sectional studies.</x:v>
      </x:c>
      <x:c r="D19" s="27" t="str">
        <x:v>removed</x:v>
      </x:c>
      <x:c r="E19" s="27" t="str"/>
      <x:c r="F19" s="27" t="str"/>
      <x:c r="G19" s="27" t="str">
        <x:v>This is a methods, background, sample-description, vague, or non-actionable sentence rather than a safe atomic evidence claim; or it falls outside the product's non-diagnostic, non-treatment scope.</x:v>
      </x:c>
      <x:c r="H19" s="27" t="str">
        <x:v>/Users/janakirampulipati/ibd-research-review/archive/removed-claims/removed-and-replaced-claims.json</x:v>
      </x:c>
      <x:c r="I19" s="27" t="str">
        <x:v>pending_human_review</x:v>
      </x:c>
    </x:row>
    <x:row r="20" ht="84" customHeight="1">
      <x:c r="A20" s="27" t="str">
        <x:v>CLM-036</x:v>
      </x:c>
      <x:c r="B20" s="27" t="str">
        <x:v>SRC-009</x:v>
      </x:c>
      <x:c r="C20" s="27" t="str">
        <x:v>Poor sleep and IBD activity were defined according to self-reported subjective sleep measures.</x:v>
      </x:c>
      <x:c r="D20" s="27" t="str">
        <x:v>removed</x:v>
      </x:c>
      <x:c r="E20" s="27" t="str"/>
      <x:c r="F20" s="27" t="str"/>
      <x:c r="G20" s="27" t="str">
        <x:v>This is a methods, background, sample-description, vague, or non-actionable sentence rather than a safe atomic evidence claim; or it falls outside the product's non-diagnostic, non-treatment scope.</x:v>
      </x:c>
      <x:c r="H20" s="27" t="str">
        <x:v>/Users/janakirampulipati/ibd-research-review/archive/removed-claims/removed-and-replaced-claims.json</x:v>
      </x:c>
      <x:c r="I20" s="27" t="str">
        <x:v>pending_human_review</x:v>
      </x:c>
    </x:row>
    <x:row r="21" ht="84" customHeight="1">
      <x:c r="A21" s="27" t="str">
        <x:v>CLM-039</x:v>
      </x:c>
      <x:c r="B21" s="27" t="str">
        <x:v>SRC-010</x:v>
      </x:c>
      <x:c r="C21" s="27" t="str">
        <x:v>Inconsistent results and a dearth of studies using the same tools for measuring psychological factors suggest the need for more research to be done to facilitate more conclusive findings.</x:v>
      </x:c>
      <x:c r="D21" s="27" t="str">
        <x:v>removed</x:v>
      </x:c>
      <x:c r="E21" s="27" t="str"/>
      <x:c r="F21" s="27" t="str"/>
      <x:c r="G21" s="27" t="str">
        <x:v>This is a methods, background, sample-description, vague, or non-actionable sentence rather than a safe atomic evidence claim; or it falls outside the product's non-diagnostic, non-treatment scope.</x:v>
      </x:c>
      <x:c r="H21" s="27" t="str">
        <x:v>/Users/janakirampulipati/ibd-research-review/archive/removed-claims/removed-and-replaced-claims.json</x:v>
      </x:c>
      <x:c r="I21" s="27" t="str">
        <x:v>pending_human_review</x:v>
      </x:c>
    </x:row>
    <x:row r="22" ht="84" customHeight="1">
      <x:c r="A22" s="27" t="str">
        <x:v>CLM-043</x:v>
      </x:c>
      <x:c r="B22" s="27" t="str">
        <x:v>SRC-011</x:v>
      </x:c>
      <x:c r="C22" s="27" t="str">
        <x:v>No previous investigation has summarized findings from prospective cohort studies on the association between dietary intake of fiber, fruit, and vegetables and risk of inflammatory bowel disease (IBD).</x:v>
      </x:c>
      <x:c r="D22" s="27" t="str">
        <x:v>removed</x:v>
      </x:c>
      <x:c r="E22" s="27" t="str"/>
      <x:c r="F22" s="27" t="str"/>
      <x:c r="G22" s="27" t="str">
        <x:v>This is a methods, background, sample-description, vague, or non-actionable sentence rather than a safe atomic evidence claim; or it falls outside the product's non-diagnostic, non-treatment scope.</x:v>
      </x:c>
      <x:c r="H22" s="27" t="str">
        <x:v>/Users/janakirampulipati/ibd-research-review/archive/removed-claims/removed-and-replaced-claims.json</x:v>
      </x:c>
      <x:c r="I22" s="27" t="str">
        <x:v>pending_human_review</x:v>
      </x:c>
    </x:row>
    <x:row r="23" ht="84" customHeight="1">
      <x:c r="A23" s="27" t="str">
        <x:v>CLM-045</x:v>
      </x:c>
      <x:c r="B23" s="27" t="str">
        <x:v>SRC-012</x:v>
      </x:c>
      <x:c r="C23" s="27" t="str">
        <x:v>RESULTS: A total of ten RCTs were included, which included 777 patients with ulcerative colitis (UC) and Crohn's disease (CD).</x:v>
      </x:c>
      <x:c r="D23" s="27" t="str">
        <x:v>removed</x:v>
      </x:c>
      <x:c r="E23" s="27" t="str"/>
      <x:c r="F23" s="27" t="str"/>
      <x:c r="G23" s="27" t="str">
        <x:v>This is a methods, background, sample-description, vague, or non-actionable sentence rather than a safe atomic evidence claim; or it falls outside the product's non-diagnostic, non-treatment scope.</x:v>
      </x:c>
      <x:c r="H23" s="27" t="str">
        <x:v>/Users/janakirampulipati/ibd-research-review/archive/removed-claims/removed-and-replaced-claims.json</x:v>
      </x:c>
      <x:c r="I23" s="27" t="str">
        <x:v>pending_human_review</x:v>
      </x:c>
    </x:row>
    <x:row r="24" ht="84" customHeight="1">
      <x:c r="A24" s="27" t="str">
        <x:v>CLM-047</x:v>
      </x:c>
      <x:c r="B24" s="27" t="str">
        <x:v>SRC-012</x:v>
      </x:c>
      <x:c r="C24" s="27" t="str">
        <x:v>In the present study, we analyzed randomized controlled trials (RCTs) on the treatment of probiotics in IBD to systematically evaluate the efficacy of probiotics on the induction and maintenance of remission of IBD.</x:v>
      </x:c>
      <x:c r="D24" s="27" t="str">
        <x:v>removed</x:v>
      </x:c>
      <x:c r="E24" s="27" t="str"/>
      <x:c r="F24" s="27" t="str"/>
      <x:c r="G24" s="27" t="str">
        <x:v>This is a methods, background, sample-description, vague, or non-actionable sentence rather than a safe atomic evidence claim; or it falls outside the product's non-diagnostic, non-treatment scope.</x:v>
      </x:c>
      <x:c r="H24" s="27" t="str">
        <x:v>/Users/janakirampulipati/ibd-research-review/archive/removed-claims/removed-and-replaced-claims.json</x:v>
      </x:c>
      <x:c r="I24" s="27" t="str">
        <x:v>pending_human_review</x:v>
      </x:c>
    </x:row>
    <x:row r="25" ht="84" customHeight="1">
      <x:c r="A25" s="27" t="str">
        <x:v>CLM-052</x:v>
      </x:c>
      <x:c r="B25" s="27" t="str">
        <x:v>SRC-013</x:v>
      </x:c>
      <x:c r="C25" s="27" t="str">
        <x:v>Hence, the aim of this article is to critically review the evidence for the effects of UPF and food additives on gut health and disease and to discuss the clinical application of these findings.</x:v>
      </x:c>
      <x:c r="D25" s="27" t="str">
        <x:v>removed</x:v>
      </x:c>
      <x:c r="E25" s="27" t="str"/>
      <x:c r="F25" s="27" t="str"/>
      <x:c r="G25" s="27" t="str">
        <x:v>This is a methods, background, sample-description, vague, or non-actionable sentence rather than a safe atomic evidence claim; or it falls outside the product's non-diagnostic, non-treatment scope.</x:v>
      </x:c>
      <x:c r="H25" s="27" t="str">
        <x:v>/Users/janakirampulipati/ibd-research-review/archive/removed-claims/removed-and-replaced-claims.json</x:v>
      </x:c>
      <x:c r="I25" s="27" t="str">
        <x:v>pending_human_review</x:v>
      </x:c>
    </x:row>
    <x:row r="26" ht="84" customHeight="1">
      <x:c r="A26" s="27" t="str">
        <x:v>CLM-054</x:v>
      </x:c>
      <x:c r="B26" s="27" t="str">
        <x:v>SRC-014</x:v>
      </x:c>
      <x:c r="C26" s="27" t="str">
        <x:v>We used the Grading of Recommendations Assessment, Development and Evaluation [GRADE] approach to assess the quality of evidence.</x:v>
      </x:c>
      <x:c r="D26" s="27" t="str">
        <x:v>removed</x:v>
      </x:c>
      <x:c r="E26" s="27" t="str"/>
      <x:c r="F26" s="27" t="str"/>
      <x:c r="G26" s="27" t="str">
        <x:v>This is a methods, background, sample-description, vague, or non-actionable sentence rather than a safe atomic evidence claim; or it falls outside the product's non-diagnostic, non-treatment scope.</x:v>
      </x:c>
      <x:c r="H26" s="27" t="str">
        <x:v>/Users/janakirampulipati/ibd-research-review/archive/removed-claims/removed-and-replaced-claims.json</x:v>
      </x:c>
      <x:c r="I26" s="27" t="str">
        <x:v>pending_human_review</x:v>
      </x:c>
    </x:row>
    <x:row r="27" ht="84" customHeight="1">
      <x:c r="A27" s="27" t="str">
        <x:v>CLM-055</x:v>
      </x:c>
      <x:c r="B27" s="27" t="str">
        <x:v>SRC-014</x:v>
      </x:c>
      <x:c r="C27" s="27" t="str">
        <x:v>RESULTS: Ten observational studies were included.</x:v>
      </x:c>
      <x:c r="D27" s="27" t="str">
        <x:v>removed</x:v>
      </x:c>
      <x:c r="E27" s="27" t="str"/>
      <x:c r="F27" s="27" t="str"/>
      <x:c r="G27" s="27" t="str">
        <x:v>This is a methods, background, sample-description, vague, or non-actionable sentence rather than a safe atomic evidence claim; or it falls outside the product's non-diagnostic, non-treatment scope.</x:v>
      </x:c>
      <x:c r="H27" s="27" t="str">
        <x:v>/Users/janakirampulipati/ibd-research-review/archive/removed-claims/removed-and-replaced-claims.json</x:v>
      </x:c>
      <x:c r="I27" s="27" t="str">
        <x:v>pending_human_review</x:v>
      </x:c>
    </x:row>
    <x:row r="28" ht="84" customHeight="1">
      <x:c r="A28" s="27" t="str">
        <x:v>CLM-056</x:v>
      </x:c>
      <x:c r="B28" s="27" t="str">
        <x:v>SRC-014</x:v>
      </x:c>
      <x:c r="C28" s="27" t="str">
        <x:v>BACKGROUND AND AIMS: Modifiable risk factors in inflammatory bowel disease [IBD], such as physical activity, may be used as prevention strategies.</x:v>
      </x:c>
      <x:c r="D28" s="27" t="str">
        <x:v>removed</x:v>
      </x:c>
      <x:c r="E28" s="27" t="str"/>
      <x:c r="F28" s="27" t="str"/>
      <x:c r="G28" s="27" t="str">
        <x:v>This is a methods, background, sample-description, vague, or non-actionable sentence rather than a safe atomic evidence claim; or it falls outside the product's non-diagnostic, non-treatment scope.</x:v>
      </x:c>
      <x:c r="H28" s="27" t="str">
        <x:v>/Users/janakirampulipati/ibd-research-review/archive/removed-claims/removed-and-replaced-claims.json</x:v>
      </x:c>
      <x:c r="I28" s="27" t="str">
        <x:v>pending_human_review</x:v>
      </x:c>
    </x:row>
    <x:row r="29" ht="84" customHeight="1">
      <x:c r="A29" s="27" t="str">
        <x:v>CLM-057</x:v>
      </x:c>
      <x:c r="B29" s="27" t="str">
        <x:v>SRC-015</x:v>
      </x:c>
      <x:c r="C29" s="27" t="str">
        <x:v>BACKGROUND &amp; AIMS: Multiple environmental factors have been associated with the development of inflammatory bowel diseases (IBDs).</x:v>
      </x:c>
      <x:c r="D29" s="27" t="str">
        <x:v>removed</x:v>
      </x:c>
      <x:c r="E29" s="27" t="str"/>
      <x:c r="F29" s="27" t="str"/>
      <x:c r="G29" s="27" t="str">
        <x:v>This is a methods, background, sample-description, vague, or non-actionable sentence rather than a safe atomic evidence claim; or it falls outside the product's non-diagnostic, non-treatment scope.</x:v>
      </x:c>
      <x:c r="H29" s="27" t="str">
        <x:v>/Users/janakirampulipati/ibd-research-review/archive/removed-claims/removed-and-replaced-claims.json</x:v>
      </x:c>
      <x:c r="I29" s="27" t="str">
        <x:v>pending_human_review</x:v>
      </x:c>
    </x:row>
    <x:row r="30" ht="84" customHeight="1">
      <x:c r="A30" s="27" t="str">
        <x:v>CLM-058</x:v>
      </x:c>
      <x:c r="B30" s="27" t="str">
        <x:v>SRC-015</x:v>
      </x:c>
      <x:c r="C30" s="27" t="str">
        <x:v>We performed an umbrella review of meta-analyses to summarize available epidemiologic evidence and assess its credibility.</x:v>
      </x:c>
      <x:c r="D30" s="27" t="str">
        <x:v>removed</x:v>
      </x:c>
      <x:c r="E30" s="27" t="str"/>
      <x:c r="F30" s="27" t="str"/>
      <x:c r="G30" s="27" t="str">
        <x:v>This is a methods, background, sample-description, vague, or non-actionable sentence rather than a safe atomic evidence claim; or it falls outside the product's non-diagnostic, non-treatment scope.</x:v>
      </x:c>
      <x:c r="H30" s="27" t="str">
        <x:v>/Users/janakirampulipati/ibd-research-review/archive/removed-claims/removed-and-replaced-claims.json</x:v>
      </x:c>
      <x:c r="I30" s="27" t="str">
        <x:v>pending_human_review</x:v>
      </x:c>
    </x:row>
    <x:row r="31" ht="84" customHeight="1">
      <x:c r="A31" s="27" t="str">
        <x:v>CLM-059</x:v>
      </x:c>
      <x:c r="B31" s="27" t="str">
        <x:v>SRC-015</x:v>
      </x:c>
      <x:c r="C31" s="27" t="str">
        <x:v>For each meta-analysis, we considered the random effects estimate, its 95% confidence interval, the estimates of heterogeneity, and small-study effects, and we graded the evidence according to prespecified criteria.</x:v>
      </x:c>
      <x:c r="D31" s="27" t="str">
        <x:v>removed</x:v>
      </x:c>
      <x:c r="E31" s="27" t="str"/>
      <x:c r="F31" s="27" t="str"/>
      <x:c r="G31" s="27" t="str">
        <x:v>This is a methods, background, sample-description, vague, or non-actionable sentence rather than a safe atomic evidence claim; or it falls outside the product's non-diagnostic, non-treatment scope.</x:v>
      </x:c>
      <x:c r="H31" s="27" t="str">
        <x:v>/Users/janakirampulipati/ibd-research-review/archive/removed-claims/removed-and-replaced-claims.json</x:v>
      </x:c>
      <x:c r="I31" s="27" t="str">
        <x:v>pending_human_review</x:v>
      </x:c>
    </x:row>
    <x:row r="32" ht="84" customHeight="1">
      <x:c r="A32" s="27" t="str">
        <x:v>CLM-060</x:v>
      </x:c>
      <x:c r="B32" s="27" t="str">
        <x:v>SRC-015</x:v>
      </x:c>
      <x:c r="C32" s="27" t="str">
        <x:v>RESULTS: We examined 183 estimates in 53 meta-analyses of 71 environmental factors related to lifestyles and hygiene, surgeries, drug exposures, diet, microorganisms, and vaccinations.</x:v>
      </x:c>
      <x:c r="D32" s="27" t="str">
        <x:v>removed</x:v>
      </x:c>
      <x:c r="E32" s="27" t="str"/>
      <x:c r="F32" s="27" t="str"/>
      <x:c r="G32" s="27" t="str">
        <x:v>This is a methods, background, sample-description, vague, or non-actionable sentence rather than a safe atomic evidence claim; or it falls outside the product's non-diagnostic, non-treatment scope.</x:v>
      </x:c>
      <x:c r="H32" s="27" t="str">
        <x:v>/Users/janakirampulipati/ibd-research-review/archive/removed-claims/removed-and-replaced-claims.json</x:v>
      </x:c>
      <x:c r="I32" s="27" t="str">
        <x:v>pending_human_review</x:v>
      </x:c>
    </x:row>
    <x:row r="33" ht="84" customHeight="1">
      <x:c r="A33" s="27" t="str">
        <x:v>CLM-063</x:v>
      </x:c>
      <x:c r="B33" s="27" t="str">
        <x:v>SRC-016</x:v>
      </x:c>
      <x:c r="C33" s="27" t="str">
        <x:v>RESULTS: The study randomized 194 patients, and 191 were included in the efficacy analyses.</x:v>
      </x:c>
      <x:c r="D33" s="27" t="str">
        <x:v>removed</x:v>
      </x:c>
      <x:c r="E33" s="27" t="str"/>
      <x:c r="F33" s="27" t="str"/>
      <x:c r="G33" s="27" t="str">
        <x:v>This is a methods, background, sample-description, vague, or non-actionable sentence rather than a safe atomic evidence claim; or it falls outside the product's non-diagnostic, non-treatment scope.</x:v>
      </x:c>
      <x:c r="H33" s="27" t="str">
        <x:v>/Users/janakirampulipati/ibd-research-review/archive/removed-claims/removed-and-replaced-claims.json</x:v>
      </x:c>
      <x:c r="I33" s="27" t="str">
        <x:v>pending_human_review</x:v>
      </x:c>
    </x:row>
    <x:row r="34" ht="84" customHeight="1">
      <x:c r="A34" s="27" t="str">
        <x:v>CLM-064</x:v>
      </x:c>
      <x:c r="B34" s="27" t="str">
        <x:v>SRC-016</x:v>
      </x:c>
      <x:c r="C34" s="27" t="str">
        <x:v>BACKGROUND &amp; AIMS: This study compared the effectiveness of the Specific Carbohydrate Diet (SCD) to the Mediterranean diet (MD) as treatment for Crohn's disease (CD) with mild to moderate symptoms.</x:v>
      </x:c>
      <x:c r="D34" s="27" t="str">
        <x:v>removed</x:v>
      </x:c>
      <x:c r="E34" s="27" t="str"/>
      <x:c r="F34" s="27" t="str"/>
      <x:c r="G34" s="27" t="str">
        <x:v>This is a methods, background, sample-description, vague, or non-actionable sentence rather than a safe atomic evidence claim; or it falls outside the product's non-diagnostic, non-treatment scope.</x:v>
      </x:c>
      <x:c r="H34" s="27" t="str">
        <x:v>/Users/janakirampulipati/ibd-research-review/archive/removed-claims/removed-and-replaced-claims.json</x:v>
      </x:c>
      <x:c r="I34" s="27" t="str">
        <x:v>pending_human_review</x:v>
      </x:c>
    </x:row>
    <x:row r="35" ht="84" customHeight="1">
      <x:c r="A35" s="27" t="str">
        <x:v>CLM-065</x:v>
      </x:c>
      <x:c r="B35" s="27" t="str">
        <x:v>SRC-017</x:v>
      </x:c>
      <x:c r="C35" s="27" t="str">
        <x:v>BACKGROUND &amp; AIMS: Exclusive enteral nutrition (EEN) is recommended for children with mild to moderate Crohn's disease (CD), but implementation is challenging.</x:v>
      </x:c>
      <x:c r="D35" s="27" t="str">
        <x:v>removed</x:v>
      </x:c>
      <x:c r="E35" s="27" t="str"/>
      <x:c r="F35" s="27" t="str"/>
      <x:c r="G35" s="27" t="str">
        <x:v>This is a methods, background, sample-description, vague, or non-actionable sentence rather than a safe atomic evidence claim; or it falls outside the product's non-diagnostic, non-treatment scope.</x:v>
      </x:c>
      <x:c r="H35" s="27" t="str">
        <x:v>/Users/janakirampulipati/ibd-research-review/archive/removed-claims/removed-and-replaced-claims.json</x:v>
      </x:c>
      <x:c r="I35" s="27" t="str">
        <x:v>pending_human_review</x:v>
      </x:c>
    </x:row>
    <x:row r="36" ht="84" customHeight="1">
      <x:c r="A36" s="27" t="str">
        <x:v>CLM-067</x:v>
      </x:c>
      <x:c r="B36" s="27" t="str">
        <x:v>SRC-017</x:v>
      </x:c>
      <x:c r="C36" s="27" t="str">
        <x:v>RESULTS: Four patients withdrew from the study because of intolerance by 48 hours, 74 patients (mean age 14.2 ± 2.7 years) were included for remission analysis.</x:v>
      </x:c>
      <x:c r="D36" s="27" t="str">
        <x:v>removed</x:v>
      </x:c>
      <x:c r="E36" s="27" t="str"/>
      <x:c r="F36" s="27" t="str"/>
      <x:c r="G36" s="27" t="str">
        <x:v>This is a methods, background, sample-description, vague, or non-actionable sentence rather than a safe atomic evidence claim; or it falls outside the product's non-diagnostic, non-treatment scope.</x:v>
      </x:c>
      <x:c r="H36" s="27" t="str">
        <x:v>/Users/janakirampulipati/ibd-research-review/archive/removed-claims/removed-and-replaced-claims.json</x:v>
      </x:c>
      <x:c r="I36" s="27" t="str">
        <x:v>pending_human_review</x:v>
      </x:c>
    </x:row>
    <x:row r="37" ht="84" customHeight="1">
      <x:c r="A37" s="27" t="str">
        <x:v>CLM-069</x:v>
      </x:c>
      <x:c r="B37" s="27" t="str">
        <x:v>SRC-018</x:v>
      </x:c>
      <x:c r="C37" s="27" t="str">
        <x:v>We performed a randomized controlled trial to determine whether reduced consumption of red and processed meats decreases the risk of symptomatic relapse of CD, analyzing results from the Food and Crohn's Disease Exacerbation Study (FACES) trial.</x:v>
      </x:c>
      <x:c r="D37" s="27" t="str">
        <x:v>removed</x:v>
      </x:c>
      <x:c r="E37" s="27" t="str"/>
      <x:c r="F37" s="27" t="str"/>
      <x:c r="G37" s="27" t="str">
        <x:v>This is a methods, background, sample-description, vague, or non-actionable sentence rather than a safe atomic evidence claim; or it falls outside the product's non-diagnostic, non-treatment scope.</x:v>
      </x:c>
      <x:c r="H37" s="27" t="str">
        <x:v>/Users/janakirampulipati/ibd-research-review/archive/removed-claims/removed-and-replaced-claims.json</x:v>
      </x:c>
      <x:c r="I37" s="27" t="str">
        <x:v>pending_human_review</x:v>
      </x:c>
    </x:row>
    <x:row r="38" ht="84" customHeight="1">
      <x:c r="A38" s="27" t="str">
        <x:v>CLM-070</x:v>
      </x:c>
      <x:c r="B38" s="27" t="str">
        <x:v>SRC-018</x:v>
      </x:c>
      <x:c r="C38" s="27" t="str">
        <x:v>RESULTS: During the trial, the high-meat groups reported consumption of 2 or more servings of red or processed meat during 98.5% of observed weeks compared with 18.8% of weeks for the low-meat group.</x:v>
      </x:c>
      <x:c r="D38" s="27" t="str">
        <x:v>removed</x:v>
      </x:c>
      <x:c r="E38" s="27" t="str"/>
      <x:c r="F38" s="27" t="str"/>
      <x:c r="G38" s="27" t="str">
        <x:v>This is a methods, background, sample-description, vague, or non-actionable sentence rather than a safe atomic evidence claim; or it falls outside the product's non-diagnostic, non-treatment scope.</x:v>
      </x:c>
      <x:c r="H38" s="27" t="str">
        <x:v>/Users/janakirampulipati/ibd-research-review/archive/removed-claims/removed-and-replaced-claims.json</x:v>
      </x:c>
      <x:c r="I38" s="27" t="str">
        <x:v>pending_human_review</x:v>
      </x:c>
    </x:row>
    <x:row r="39" ht="84" customHeight="1">
      <x:c r="A39" s="27" t="str">
        <x:v>CLM-072</x:v>
      </x:c>
      <x:c r="B39" s="27" t="str">
        <x:v>SRC-018</x:v>
      </x:c>
      <x:c r="C39" s="27" t="str">
        <x:v>Individuals who were in remission (CD activity index [sCDAI] scores of ≤150), had completed a biannual survey, and reported consumption of red meat at least once weekly were randomly assigned to groups that consumed a minimum of 2 servings/week of red or processed meat (high meat, n = 118) or not more than 1 serving per month (low meat, n = 96) for 49 weeks.</x:v>
      </x:c>
      <x:c r="D39" s="27" t="str">
        <x:v>removed</x:v>
      </x:c>
      <x:c r="E39" s="27" t="str"/>
      <x:c r="F39" s="27" t="str"/>
      <x:c r="G39" s="27" t="str">
        <x:v>This is a methods, background, sample-description, vague, or non-actionable sentence rather than a safe atomic evidence claim; or it falls outside the product's non-diagnostic, non-treatment scope.</x:v>
      </x:c>
      <x:c r="H39" s="27" t="str">
        <x:v>/Users/janakirampulipati/ibd-research-review/archive/removed-claims/removed-and-replaced-claims.json</x:v>
      </x:c>
      <x:c r="I39" s="27" t="str">
        <x:v>pending_human_review</x:v>
      </x:c>
    </x:row>
    <x:row r="40" ht="84" customHeight="1">
      <x:c r="A40" s="27" t="str">
        <x:v>CLM-075</x:v>
      </x:c>
      <x:c r="B40" s="27" t="str">
        <x:v>SRC-019</x:v>
      </x:c>
      <x:c r="C40" s="27" t="str">
        <x:v>METHODS: An LFD is associated with symptom improvement in patients with functional intestinal disorders, although its safety and efficacy has not been characterized in patients with IBD.</x:v>
      </x:c>
      <x:c r="D40" s="27" t="str">
        <x:v>removed</x:v>
      </x:c>
      <x:c r="E40" s="27" t="str"/>
      <x:c r="F40" s="27" t="str"/>
      <x:c r="G40" s="27" t="str">
        <x:v>This is a methods, background, sample-description, vague, or non-actionable sentence rather than a safe atomic evidence claim; or it falls outside the product's non-diagnostic, non-treatment scope.</x:v>
      </x:c>
      <x:c r="H40" s="27" t="str">
        <x:v>/Users/janakirampulipati/ibd-research-review/archive/removed-claims/removed-and-replaced-claims.json</x:v>
      </x:c>
      <x:c r="I40" s="27" t="str">
        <x:v>pending_human_review</x:v>
      </x:c>
    </x:row>
    <x:row r="41" ht="84" customHeight="1">
      <x:c r="A41" s="27" t="str">
        <x:v>CLM-076</x:v>
      </x:c>
      <x:c r="B41" s="27" t="str">
        <x:v>SRC-019</x:v>
      </x:c>
      <x:c r="C41" s="27" t="str">
        <x:v>Disease activity (Harvey-Bradshaw index [HBi], partial Mayo score), fecal calprotectin, and disease-specific quality of life (IBD-Q) were assessed at baseline and at the end of dietary intervention.</x:v>
      </x:c>
      <x:c r="D41" s="27" t="str">
        <x:v>removed</x:v>
      </x:c>
      <x:c r="E41" s="27" t="str"/>
      <x:c r="F41" s="27" t="str"/>
      <x:c r="G41" s="27" t="str">
        <x:v>This is a methods, background, sample-description, vague, or non-actionable sentence rather than a safe atomic evidence claim; or it falls outside the product's non-diagnostic, non-treatment scope.</x:v>
      </x:c>
      <x:c r="H41" s="27" t="str">
        <x:v>/Users/janakirampulipati/ibd-research-review/archive/removed-claims/removed-and-replaced-claims.json</x:v>
      </x:c>
      <x:c r="I41" s="27" t="str">
        <x:v>pending_human_review</x:v>
      </x:c>
    </x:row>
    <x:row r="42" ht="84" customHeight="1">
      <x:c r="A42" s="27" t="str">
        <x:v>CLM-090</x:v>
      </x:c>
      <x:c r="B42" s="27" t="str">
        <x:v>SRC-024</x:v>
      </x:c>
      <x:c r="C42" s="27" t="str">
        <x:v>After reviewing the recommendations, the Foundation has determined that the information in our Diet and Nutrition resources remains unchanged for the IBD community.</x:v>
      </x:c>
      <x:c r="D42" s="27" t="str">
        <x:v>removed</x:v>
      </x:c>
      <x:c r="E42" s="27" t="str"/>
      <x:c r="F42" s="27" t="str"/>
      <x:c r="G42" s="27" t="str">
        <x:v>This is a methods, background, sample-description, vague, or non-actionable sentence rather than a safe atomic evidence claim; or it falls outside the product's non-diagnostic, non-treatment scope.</x:v>
      </x:c>
      <x:c r="H42" s="27" t="str">
        <x:v>/Users/janakirampulipati/ibd-research-review/archive/removed-claims/removed-and-replaced-claims.json</x:v>
      </x:c>
      <x:c r="I42" s="27" t="str">
        <x:v>pending_human_review</x:v>
      </x:c>
    </x:row>
    <x:row r="43" ht="84" customHeight="1">
      <x:c r="A43" s="27" t="str">
        <x:v>CLM-091</x:v>
      </x:c>
      <x:c r="B43" s="27" t="str">
        <x:v>SRC-024</x:v>
      </x:c>
      <x:c r="C43" s="27" t="str">
        <x:v>There are also foods associated with increasing risk for active disease.</x:v>
      </x:c>
      <x:c r="D43" s="27" t="str">
        <x:v>removed</x:v>
      </x:c>
      <x:c r="E43" s="27" t="str"/>
      <x:c r="F43" s="27" t="str"/>
      <x:c r="G43" s="27" t="str">
        <x:v>This is a methods, background, sample-description, vague, or non-actionable sentence rather than a safe atomic evidence claim; or it falls outside the product's non-diagnostic, non-treatment scope.</x:v>
      </x:c>
      <x:c r="H43" s="27" t="str">
        <x:v>/Users/janakirampulipati/ibd-research-review/archive/removed-claims/removed-and-replaced-claims.json</x:v>
      </x:c>
      <x:c r="I43" s="27" t="str">
        <x:v>pending_human_review</x:v>
      </x:c>
    </x:row>
    <x:row r="44" ht="84" customHeight="1">
      <x:c r="A44" s="28" t="str">
        <x:v>CLM-097</x:v>
      </x:c>
      <x:c r="B44" s="28" t="str">
        <x:v>SRC-026</x:v>
      </x:c>
      <x:c r="C44" s="28" t="str">
        <x:v>The 2023 ESPEN guideline does not recommend a single oral diet for all active IBD, but it supports selected Crohn’s disease exclusion-diet approaches for defined subgroups and notes limited long-term safety data.</x:v>
      </x:c>
      <x:c r="D44" s="28" t="str">
        <x:v>narrowed_and_split_in_place</x:v>
      </x:c>
      <x:c r="E44" s="28" t="str">
        <x:v>CLM-097; CLM-098; CLM-099; CLM-100</x:v>
      </x:c>
      <x:c r="F44" s="28" t="str">
        <x:v>SRC-026</x:v>
      </x:c>
      <x:c r="G44" s="28" t="str">
        <x:v>The pre-remediation claim contained multiple assertions; it was narrowed and split into atomic claims.</x:v>
      </x:c>
      <x:c r="H44" s="28" t="str">
        <x:v>/Users/janakirampulipati/ibd-research-review/processing/final-remediation/final-remediation-data.json</x:v>
      </x:c>
      <x:c r="I44" s="28" t="str">
        <x:v>pending_human_review</x:v>
      </x:c>
    </x:row>
  </x:sheetData>
  <x:mergeCells>
    <x:mergeCell ref="A1:I1"/>
    <x:mergeCell ref="A2:I2"/>
  </x:mergeCells>
  <x:conditionalFormatting sqref="D5:D44">
    <x:cfRule type="containsText" dxfId="45" priority="1" operator="containsText" text="PASS"/>
    <x:cfRule type="containsText" dxfId="46" priority="2" operator="containsText" text="ready"/>
    <x:cfRule type="containsText" dxfId="47" priority="3" operator="containsText" text="supported"/>
    <x:cfRule type="containsText" dxfId="48" priority="4" operator="containsText" text="pending"/>
    <x:cfRule type="containsText" dxfId="49" priority="5" operator="containsText" text="needs"/>
    <x:cfRule type="containsText" dxfId="50" priority="6" operator="containsText" text="unresolved"/>
    <x:cfRule type="containsText" dxfId="51" priority="7" operator="containsText" text="excluded"/>
    <x:cfRule type="containsText" dxfId="52" priority="8" operator="containsText" text="removed"/>
    <x:cfRule type="containsText" dxfId="53" priority="9" operator="containsText" text="superseded"/>
  </x:conditionalFormatting>
  <x:pageMargins left="0.7" right="0.7" top="0.75" bottom="0.75" header="0.3" footer="0.3"/>
  <x:tableParts count="1">
    <x:tablePart xmlns:r="http://schemas.openxmlformats.org/officeDocument/2006/relationships" r:id="R9efb7a5d4a9d4c5a"/>
  </x:tableParts>
</x:worksheet>
</file>

<file path=xl/worksheets/sheet7.xml><?xml version="1.0" encoding="utf-8"?>
<x:worksheet xmlns:x="http://schemas.openxmlformats.org/spreadsheetml/2006/main">
  <x:sheetViews>
    <x:sheetView showGridLines="0" workbookViewId="0"/>
  </x:sheetViews>
  <x:sheetFormatPr defaultRowHeight="15"/>
  <x:cols>
    <x:col min="1" max="1" width="13" hidden="0" customWidth="1"/>
    <x:col min="2" max="2" width="32" hidden="0" customWidth="1"/>
    <x:col min="3" max="3" width="28" hidden="0" customWidth="1"/>
    <x:col min="4" max="4" width="14" hidden="0" customWidth="1"/>
    <x:col min="5" max="5" width="70" hidden="0" customWidth="1"/>
  </x:cols>
  <x:sheetData>
    <x:row r="1" ht="31" customHeight="1">
      <x:c r="A1" s="3" t="str">
        <x:v>Final targeted-remediation validation</x:v>
      </x:c>
      <x:c r="B1" s="3"/>
      <x:c r="C1" s="3"/>
      <x:c r="D1" s="3"/>
      <x:c r="E1" s="3"/>
    </x:row>
    <x:row r="2" ht="46" customHeight="1">
      <x:c r="A2" s="7" t="str">
        <x:v>Focused controls cover the seven previous failures, CLM-092 exclusion, identifier integrity, counts, blank review fields, formulas, and all-sheet rendering.</x:v>
      </x:c>
      <x:c r="B2" s="7"/>
      <x:c r="C2" s="7"/>
      <x:c r="D2" s="7"/>
      <x:c r="E2" s="7"/>
    </x:row>
    <x:row r="4" ht="42" customHeight="1">
      <x:c r="A4" s="16" t="str">
        <x:v>Check ID</x:v>
      </x:c>
      <x:c r="B4" s="17" t="str">
        <x:v>Validation check</x:v>
      </x:c>
      <x:c r="C4" s="17" t="str">
        <x:v>Scope</x:v>
      </x:c>
      <x:c r="D4" s="17" t="str">
        <x:v>Result</x:v>
      </x:c>
      <x:c r="E4" s="18" t="str">
        <x:v>Evidence</x:v>
      </x:c>
    </x:row>
    <x:row r="5" ht="62" customHeight="1">
      <x:c r="A5" s="26" t="str">
        <x:v>VAL-001</x:v>
      </x:c>
      <x:c r="B5" s="26" t="str">
        <x:v>ECCO locator precision</x:v>
      </x:c>
      <x:c r="C5" s="26" t="str">
        <x:v>CLM-081–CLM-086</x:v>
      </x:c>
      <x:c r="D5" s="26" t="str">
        <x:v>PASS</x:v>
      </x:c>
      <x:c r="E5" s="26" t="str">
        <x:v>6/6 have numbered sections plus statement/practice-point and stable paragraph/sentence anchors.</x:v>
      </x:c>
    </x:row>
    <x:row r="6" ht="62" customHeight="1">
      <x:c r="A6" s="27" t="str">
        <x:v>VAL-002</x:v>
      </x:c>
      <x:c r="B6" s="27" t="str">
        <x:v>ECCO authoritative captures</x:v>
      </x:c>
      <x:c r="C6" s="27" t="str">
        <x:v>SRC-021; SRC-022</x:v>
      </x:c>
      <x:c r="D6" s="27" t="str">
        <x:v>PASS</x:v>
      </x:c>
      <x:c r="E6" s="27" t="str">
        <x:v>Both local authoritative captures are non-empty and contain the cited passages.</x:v>
      </x:c>
    </x:row>
    <x:row r="7" ht="62" customHeight="1">
      <x:c r="A7" s="27" t="str">
        <x:v>VAL-003</x:v>
      </x:c>
      <x:c r="B7" s="27" t="str">
        <x:v>CLM-097 atomicity</x:v>
      </x:c>
      <x:c r="C7" s="27" t="str">
        <x:v>CLM-097</x:v>
      </x:c>
      <x:c r="D7" s="27" t="str">
        <x:v>PASS</x:v>
      </x:c>
      <x:c r="E7" s="27" t="str">
        <x:v>CLM-097 now contains one directly supported assertion.</x:v>
      </x:c>
    </x:row>
    <x:row r="8" ht="62" customHeight="1">
      <x:c r="A8" s="27" t="str">
        <x:v>VAL-004</x:v>
      </x:c>
      <x:c r="B8" s="27" t="str">
        <x:v>CLM-097 split support</x:v>
      </x:c>
      <x:c r="C8" s="27" t="str">
        <x:v>CLM-098–CLM-100</x:v>
      </x:c>
      <x:c r="D8" s="27" t="str">
        <x:v>PASS</x:v>
      </x:c>
      <x:c r="E8" s="27" t="str">
        <x:v>Each new atomic claim has an exact ESPEN excerpt and journal-page-357 recommendation/commentary locator.</x:v>
      </x:c>
    </x:row>
    <x:row r="9" ht="62" customHeight="1">
      <x:c r="A9" s="27" t="str">
        <x:v>VAL-005</x:v>
      </x:c>
      <x:c r="B9" s="27" t="str">
        <x:v>Unresolved-claim exclusion</x:v>
      </x:c>
      <x:c r="C9" s="27" t="str">
        <x:v>CLM-092</x:v>
      </x:c>
      <x:c r="D9" s="27" t="str">
        <x:v>PASS</x:v>
      </x:c>
      <x:c r="E9" s="27" t="str">
        <x:v>still_needs_evidence; excluded until resolved and explicitly approved.</x:v>
      </x:c>
    </x:row>
    <x:row r="10" ht="62" customHeight="1">
      <x:c r="A10" s="27" t="str">
        <x:v>VAL-006</x:v>
      </x:c>
      <x:c r="B10" s="27" t="str">
        <x:v>Unique active claim IDs</x:v>
      </x:c>
      <x:c r="C10" s="27" t="str">
        <x:v>61 active rows</x:v>
      </x:c>
      <x:c r="D10" s="27" t="str">
        <x:v>PASS</x:v>
      </x:c>
      <x:c r="E10" s="27" t="str">
        <x:v>No duplicate IDs; CLM-098, CLM-099, and CLM-100 are unique.</x:v>
      </x:c>
    </x:row>
    <x:row r="11" ht="62" customHeight="1">
      <x:c r="A11" s="27" t="str">
        <x:v>VAL-007</x:v>
      </x:c>
      <x:c r="B11" s="27" t="str">
        <x:v>Active source integrity</x:v>
      </x:c>
      <x:c r="C11" s="27" t="str">
        <x:v>61 active rows</x:v>
      </x:c>
      <x:c r="D11" s="27" t="str">
        <x:v>PASS</x:v>
      </x:c>
      <x:c r="E11" s="27" t="str">
        <x:v>Every active claim references one of 25 active sources; none references superseded SRC-003.</x:v>
      </x:c>
    </x:row>
    <x:row r="12" ht="62" customHeight="1">
      <x:c r="A12" s="27" t="str">
        <x:v>VAL-008</x:v>
      </x:c>
      <x:c r="B12" s="27" t="str">
        <x:v>Active-claim count reconciliation</x:v>
      </x:c>
      <x:c r="C12" s="27" t="str">
        <x:v>60 ready + 1 unresolved</x:v>
      </x:c>
      <x:c r="D12" s="27" t="str">
        <x:v>PASS</x:v>
      </x:c>
      <x:c r="E12" s="27" t="str">
        <x:v>Total active claims = 61.</x:v>
      </x:c>
    </x:row>
    <x:row r="13" ht="62" customHeight="1">
      <x:c r="A13" s="27" t="str">
        <x:v>VAL-009</x:v>
      </x:c>
      <x:c r="B13" s="27" t="str">
        <x:v>Human review fields</x:v>
      </x:c>
      <x:c r="C13" s="27" t="str">
        <x:v>Sources and Claims</x:v>
      </x:c>
      <x:c r="D13" s="27" t="str">
        <x:v>PASS</x:v>
      </x:c>
      <x:c r="E13" s="27" t="str">
        <x:v>All decision, edited-claim, and reviewer-note fields are blank.</x:v>
      </x:c>
    </x:row>
    <x:row r="14" ht="62" customHeight="1">
      <x:c r="A14" s="27" t="str">
        <x:v>VAL-010</x:v>
      </x:c>
      <x:c r="B14" s="27" t="str">
        <x:v>Generic locator exclusion</x:v>
      </x:c>
      <x:c r="C14" s="27" t="str">
        <x:v>61 active rows</x:v>
      </x:c>
      <x:c r="D14" s="27" t="str">
        <x:v>PASS</x:v>
      </x:c>
      <x:c r="E14" s="27" t="str">
        <x:v>No active claim uses a bare Abstract, webpage, full-text, or ECCO-section locator.</x:v>
      </x:c>
    </x:row>
    <x:row r="15" ht="62" customHeight="1">
      <x:c r="A15" s="27" t="str">
        <x:v>VAL-011</x:v>
      </x:c>
      <x:c r="B15" s="27" t="str">
        <x:v>Workbook formula scan</x:v>
      </x:c>
      <x:c r="C15" s="27" t="str">
        <x:v>All sheets</x:v>
      </x:c>
      <x:c r="D15" s="27" t="str">
        <x:v>PASS</x:v>
      </x:c>
      <x:c r="E15" s="27" t="str">
        <x:v>Builder formula-error scan must return zero matches for export to complete.</x:v>
      </x:c>
    </x:row>
    <x:row r="16" ht="62" customHeight="1">
      <x:c r="A16" s="28" t="str">
        <x:v>VAL-012</x:v>
      </x:c>
      <x:c r="B16" s="28" t="str">
        <x:v>Workbook visual validation</x:v>
      </x:c>
      <x:c r="C16" s="28" t="str">
        <x:v>8 sheets</x:v>
      </x:c>
      <x:c r="D16" s="28" t="str">
        <x:v>PASS</x:v>
      </x:c>
      <x:c r="E16" s="28" t="str">
        <x:v>All eight sheet renders must complete for export to complete.</x:v>
      </x:c>
    </x:row>
  </x:sheetData>
  <x:mergeCells>
    <x:mergeCell ref="A1:E1"/>
    <x:mergeCell ref="A2:E2"/>
  </x:mergeCells>
  <x:conditionalFormatting sqref="D5:D16">
    <x:cfRule type="containsText" dxfId="54" priority="1" operator="containsText" text="PASS"/>
    <x:cfRule type="containsText" dxfId="55" priority="2" operator="containsText" text="ready"/>
    <x:cfRule type="containsText" dxfId="56" priority="3" operator="containsText" text="supported"/>
    <x:cfRule type="containsText" dxfId="57" priority="4" operator="containsText" text="pending"/>
    <x:cfRule type="containsText" dxfId="58" priority="5" operator="containsText" text="needs"/>
    <x:cfRule type="containsText" dxfId="59" priority="6" operator="containsText" text="unresolved"/>
    <x:cfRule type="containsText" dxfId="60" priority="7" operator="containsText" text="excluded"/>
    <x:cfRule type="containsText" dxfId="61" priority="8" operator="containsText" text="removed"/>
    <x:cfRule type="containsText" dxfId="62" priority="9" operator="containsText" text="superseded"/>
  </x:conditionalFormatting>
  <x:pageMargins left="0.7" right="0.7" top="0.75" bottom="0.75" header="0.3" footer="0.3"/>
  <x:tableParts count="1">
    <x:tablePart xmlns:r="http://schemas.openxmlformats.org/officeDocument/2006/relationships" r:id="Rb1d726b97fb04c9d"/>
  </x:tableParts>
</x:worksheet>
</file>

<file path=xl/worksheets/sheet8.xml><?xml version="1.0" encoding="utf-8"?>
<x:worksheet xmlns:x="http://schemas.openxmlformats.org/spreadsheetml/2006/main">
  <x:sheetViews>
    <x:sheetView showGridLines="0" workbookViewId="0"/>
  </x:sheetViews>
  <x:sheetFormatPr defaultRowHeight="15"/>
  <x:cols>
    <x:col min="1" max="1" width="38" hidden="0" customWidth="1"/>
    <x:col min="2" max="2" width="18" hidden="0" customWidth="1"/>
    <x:col min="3" max="3" width="62" hidden="0" customWidth="1"/>
    <x:col min="5" max="5" width="34" hidden="0" customWidth="1"/>
    <x:col min="6" max="6" width="66" hidden="0" customWidth="1"/>
  </x:cols>
  <x:sheetData>
    <x:row r="1" ht="34" customHeight="1">
      <x:c r="A1" s="35" t="str">
        <x:v>IBD evidence — final targeted remediation summary</x:v>
      </x:c>
      <x:c r="B1" s="35"/>
      <x:c r="C1" s="35"/>
      <x:c r="D1" s="35"/>
      <x:c r="E1" s="35"/>
      <x:c r="F1" s="35"/>
    </x:row>
    <x:row r="2" ht="46" customHeight="1">
      <x:c r="A2" s="37" t="str">
        <x:v>Status: ready for one final independent QA, not approved. CLM-092 remains excluded. Human-review fields are blank.</x:v>
      </x:c>
      <x:c r="B2" s="37"/>
      <x:c r="C2" s="37"/>
      <x:c r="D2" s="37"/>
      <x:c r="E2" s="37"/>
      <x:c r="F2" s="37"/>
    </x:row>
    <x:row r="4">
      <x:c r="A4" s="38" t="str">
        <x:v>Metric</x:v>
      </x:c>
      <x:c r="B4" s="38" t="str">
        <x:v>Value</x:v>
      </x:c>
      <x:c r="C4" s="38" t="str">
        <x:v>Interpretation</x:v>
      </x:c>
      <x:c r="E4" s="61" t="str">
        <x:v>Hard-stop control</x:v>
      </x:c>
      <x:c r="F4" s="61" t="str">
        <x:v>Current state</x:v>
      </x:c>
    </x:row>
    <x:row r="5" ht="54" customHeight="1">
      <x:c r="A5" s="48" t="str">
        <x:v>Targeted QA failures repaired</x:v>
      </x:c>
      <x:c r="B5" s="57" t="n">
        <x:f>COUNTA('Locator Corrections'!$A$5:$A$10)+1</x:f>
        <x:v>7</x:v>
      </x:c>
      <x:c r="C5" s="45" t="str">
        <x:v>Six ECCO locators plus CLM-097</x:v>
      </x:c>
      <x:c r="E5" s="62" t="str">
        <x:v>Evidence approval</x:v>
      </x:c>
      <x:c r="F5" s="62" t="str">
        <x:v>None granted.</x:v>
      </x:c>
    </x:row>
    <x:row r="6" ht="54" customHeight="1">
      <x:c r="A6" s="49" t="str">
        <x:v>Active claims ready for final QA</x:v>
      </x:c>
      <x:c r="B6" s="58" t="n">
        <x:f>COUNTIF('Claims'!$P$5:$P$65,"ready_for_final_independent_qa")</x:f>
        <x:v>60</x:v>
      </x:c>
      <x:c r="C6" s="46" t="str">
        <x:v>Pending final independent QA and human approval</x:v>
      </x:c>
      <x:c r="E6" s="63" t="str">
        <x:v>Final independent QA</x:v>
      </x:c>
      <x:c r="F6" s="63" t="str">
        <x:v>Required before any human approval decision.</x:v>
      </x:c>
    </x:row>
    <x:row r="7" ht="54" customHeight="1">
      <x:c r="A7" s="49" t="str">
        <x:v>Active claims needing more evidence</x:v>
      </x:c>
      <x:c r="B7" s="58" t="n">
        <x:f>COUNTIF('Claims'!$O$5:$O$65,"still_needs_evidence")</x:f>
        <x:v>1</x:v>
      </x:c>
      <x:c r="C7" s="46" t="str">
        <x:v>CLM-092 only</x:v>
      </x:c>
      <x:c r="E7" s="63" t="str">
        <x:v>CLM-092</x:v>
      </x:c>
      <x:c r="F7" s="63" t="str">
        <x:v>Still needs evidence and is excluded from approved-data export.</x:v>
      </x:c>
    </x:row>
    <x:row r="8" ht="54" customHeight="1">
      <x:c r="A8" s="49" t="str">
        <x:v>Total active claims</x:v>
      </x:c>
      <x:c r="B8" s="58" t="n">
        <x:f>COUNTA('Claims'!$A$5:$A$65)</x:f>
        <x:v>61</x:v>
      </x:c>
      <x:c r="C8" s="46" t="str">
        <x:v>60 ready plus 1 unresolved</x:v>
      </x:c>
      <x:c r="E8" s="63" t="str">
        <x:v>Human-review fields</x:v>
      </x:c>
      <x:c r="F8" s="63" t="str">
        <x:v>Blank on Sources, Claims, and Unresolved Claims.</x:v>
      </x:c>
    </x:row>
    <x:row r="9" ht="54" customHeight="1">
      <x:c r="A9" s="49" t="str">
        <x:v>New split claims created</x:v>
      </x:c>
      <x:c r="B9" s="58" t="n">
        <x:f>COUNTIF('Claims'!$C$5:$C$65,"CLM-097")</x:f>
        <x:v>3</x:v>
      </x:c>
      <x:c r="C9" s="46" t="str">
        <x:v>CLM-098, CLM-099, and CLM-100</x:v>
      </x:c>
      <x:c r="E9" s="63" t="str">
        <x:v>Application repository</x:v>
      </x:c>
      <x:c r="F9" s="63" t="str">
        <x:v>Not inspected or modified.</x:v>
      </x:c>
    </x:row>
    <x:row r="10" ht="54" customHeight="1">
      <x:c r="A10" s="49" t="str">
        <x:v>Cumulative original claims removed</x:v>
      </x:c>
      <x:c r="B10" s="58" t="n">
        <x:f>COUNTIF('Removed or Replaced Claims'!$D$5:$D$44,"removed")</x:f>
        <x:v>37</x:v>
      </x:c>
      <x:c r="C10" s="46" t="str">
        <x:v>Unchanged from the previous remediation</x:v>
      </x:c>
      <x:c r="E10" s="63" t="str">
        <x:v>Research scope</x:v>
      </x:c>
      <x:c r="F10" s="63" t="str">
        <x:v>Targeted verification only; no broad research.</x:v>
      </x:c>
    </x:row>
    <x:row r="11" ht="54" customHeight="1">
      <x:c r="A11" s="49" t="str">
        <x:v>Targeted claims removed this run</x:v>
      </x:c>
      <x:c r="B11" s="58" t="n">
        <x:f>0</x:f>
        <x:v>0</x:v>
      </x:c>
      <x:c r="C11" s="46" t="str">
        <x:v>All seven failures were repaired</x:v>
      </x:c>
      <x:c r="E11" s="64" t="str">
        <x:v>Production use</x:v>
      </x:c>
      <x:c r="F11" s="64" t="str">
        <x:v>No import, RAG, Azure, API, UI, or infrastructure work performed.</x:v>
      </x:c>
    </x:row>
    <x:row r="12" ht="39" customHeight="1">
      <x:c r="A12" s="49" t="str">
        <x:v>Active sources</x:v>
      </x:c>
      <x:c r="B12" s="58" t="n">
        <x:f>25</x:f>
        <x:v>25</x:v>
      </x:c>
      <x:c r="C12" s="46" t="str">
        <x:v>No source-set expansion</x:v>
      </x:c>
    </x:row>
    <x:row r="13" ht="39" customHeight="1">
      <x:c r="A13" s="50" t="str">
        <x:v>Human approvals granted</x:v>
      </x:c>
      <x:c r="B13" s="59" t="n">
        <x:f>0</x:f>
        <x:v>0</x:v>
      </x:c>
      <x:c r="C13" s="47" t="str">
        <x:v>Hard stop remains in force</x:v>
      </x:c>
    </x:row>
  </x:sheetData>
  <x:mergeCells>
    <x:mergeCell ref="A1:F1"/>
    <x:mergeCell ref="A2:F2"/>
  </x:mergeCells>
  <x:pageMargins left="0.7" right="0.7" top="0.75" bottom="0.75" header="0.3" footer="0.3"/>
</x:worksheet>
</file>