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85e8410fa74226" /></Relationships>
</file>

<file path=xl/workbook.xml><?xml version="1.0" encoding="utf-8"?>
<x:workbook xmlns:x="http://schemas.openxmlformats.org/spreadsheetml/2006/main">
  <x:sheets>
    <x:sheet xmlns:r="http://schemas.openxmlformats.org/officeDocument/2006/relationships" name="Sources" sheetId="1" r:id="R154f4d2b51904405"/>
    <x:sheet xmlns:r="http://schemas.openxmlformats.org/officeDocument/2006/relationships" name="Claims" sheetId="2" r:id="Rb4a7119820fe49d1"/>
    <x:sheet xmlns:r="http://schemas.openxmlformats.org/officeDocument/2006/relationships" name="Conflict Review" sheetId="3" r:id="Rdf35443680324313"/>
    <x:sheet xmlns:r="http://schemas.openxmlformats.org/officeDocument/2006/relationships" name="Coverage Matrix" sheetId="4" r:id="Rb95532ba66494f25"/>
    <x:sheet xmlns:r="http://schemas.openxmlformats.org/officeDocument/2006/relationships" name="Abstract-Only Review" sheetId="5" r:id="Re256cbe1a9344157"/>
    <x:sheet xmlns:r="http://schemas.openxmlformats.org/officeDocument/2006/relationships" name="Access and Verification Issues" sheetId="6" r:id="R31396a0c7e904f1a"/>
    <x:sheet xmlns:r="http://schemas.openxmlformats.org/officeDocument/2006/relationships" name="Rejected Candidates" sheetId="7" r:id="R45e46450be4343e8"/>
    <x:sheet xmlns:r="http://schemas.openxmlformats.org/officeDocument/2006/relationships" name="QA Summary" sheetId="8" r:id="Rbed3565100ce41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18"/>
      <x:color rgb="FFFFFFFF"/>
      <x:name val="Carlito"/>
    </x:font>
    <x:font>
      <x:i/>
      <x:sz val="11"/>
      <x:color rgb="FF1F2937"/>
      <x:name val="Carlito"/>
    </x:font>
    <x:font>
      <x:b/>
      <x:sz val="11"/>
      <x:color rgb="FFFFFFFF"/>
      <x:name val="Carlito"/>
    </x:font>
    <x:font>
      <x:b/>
      <x:sz val="11"/>
      <x:color rgb="FF17324D"/>
      <x:name val="Carlito"/>
    </x:font>
    <x:font>
      <x:b/>
      <x:sz val="12"/>
      <x:color rgb="FF17324D"/>
      <x:name val="Carlito"/>
    </x:font>
    <x:font>
      <x:b/>
      <x:sz val="11"/>
      <x:color rgb="FF842029"/>
      <x:name val="Carlito"/>
    </x:font>
  </x:fonts>
  <x:fills count="8">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
      <x:patternFill patternType="solid">
        <x:fgColor rgb="FFF7F3EA"/>
      </x:patternFill>
    </x:fill>
    <x:fill>
      <x:patternFill patternType="solid">
        <x:fgColor rgb="FFF8D7DA"/>
      </x:patternFill>
    </x:fill>
  </x:fills>
  <x:borders count="7">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wrapText="1"/>
    </x:xf>
    <x:xf numFmtId="0" fontId="7" fillId="4"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0" fontId="0" fillId="6" borderId="4" xfId="0" applyNumberFormat="1" applyFont="1" applyFill="1" applyBorder="1" applyAlignment="1">
      <x:alignment vertical="center" wrapText="1"/>
    </x:xf>
    <x:xf numFmtId="0" fontId="0" fillId="6" borderId="5"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9" fillId="6" borderId="4" xfId="0" applyNumberFormat="1" applyFont="1" applyFill="1" applyBorder="1" applyAlignment="1">
      <x:alignment vertical="center" wrapText="1"/>
    </x:xf>
    <x:xf numFmtId="0" fontId="9" fillId="6" borderId="5" xfId="0" applyNumberFormat="1" applyFont="1" applyFill="1" applyBorder="1" applyAlignment="1">
      <x:alignment vertical="center" wrapText="1"/>
    </x:xf>
    <x:xf numFmtId="0" fontId="9" fillId="6" borderId="6" xfId="0" applyNumberFormat="1" applyFont="1" applyFill="1" applyBorder="1" applyAlignment="1">
      <x:alignment vertical="center" wrapText="1"/>
    </x:xf>
    <x:xf numFmtId="200" fontId="9" fillId="6" borderId="4" xfId="0" applyNumberFormat="1" applyFont="1" applyFill="1" applyBorder="1" applyAlignment="1">
      <x:alignment vertical="center" wrapText="1"/>
    </x:xf>
    <x:xf numFmtId="200" fontId="9" fillId="6" borderId="5" xfId="0" applyNumberFormat="1" applyFont="1" applyFill="1" applyBorder="1" applyAlignment="1">
      <x:alignment vertical="center" wrapText="1"/>
    </x:xf>
    <x:xf numFmtId="200" fontId="9" fillId="6" borderId="6"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Normal" xfId="0"/>
  </x:cellStyles>
  <x:dxfs count="31">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7A4A00"/>
      </x:font>
      <x:fill>
        <x:patternFill patternType="solid">
          <x:bgColor rgb="FFFCE5B3"/>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1ebfd9dae2475b" /><Relationship Type="http://schemas.openxmlformats.org/officeDocument/2006/relationships/theme" Target="/xl/theme/theme1.xml" Id="R181cbc6520344ed5" /><Relationship Type="http://schemas.openxmlformats.org/officeDocument/2006/relationships/sharedStrings" Target="/xl/sharedStrings.xml" Id="Rb363a5e83ae64845" /><Relationship Type="http://schemas.openxmlformats.org/officeDocument/2006/relationships/worksheet" Target="/xl/worksheets/sheet1.xml" Id="R154f4d2b51904405" /><Relationship Type="http://schemas.openxmlformats.org/officeDocument/2006/relationships/worksheet" Target="/xl/worksheets/sheet2.xml" Id="Rb4a7119820fe49d1" /><Relationship Type="http://schemas.openxmlformats.org/officeDocument/2006/relationships/worksheet" Target="/xl/worksheets/sheet3.xml" Id="Rdf35443680324313" /><Relationship Type="http://schemas.openxmlformats.org/officeDocument/2006/relationships/worksheet" Target="/xl/worksheets/sheet4.xml" Id="Rb95532ba66494f25" /><Relationship Type="http://schemas.openxmlformats.org/officeDocument/2006/relationships/worksheet" Target="/xl/worksheets/sheet5.xml" Id="Re256cbe1a9344157" /><Relationship Type="http://schemas.openxmlformats.org/officeDocument/2006/relationships/worksheet" Target="/xl/worksheets/sheet6.xml" Id="R31396a0c7e904f1a" /><Relationship Type="http://schemas.openxmlformats.org/officeDocument/2006/relationships/worksheet" Target="/xl/worksheets/sheet7.xml" Id="R45e46450be4343e8" /><Relationship Type="http://schemas.openxmlformats.org/officeDocument/2006/relationships/worksheet" Target="/xl/worksheets/sheet8.xml" Id="Rbed3565100ce4100" /></Relationships>
</file>

<file path=xl/tables/table1.xml><?xml version="1.0" encoding="utf-8"?>
<x:table xmlns:x="http://schemas.openxmlformats.org/spreadsheetml/2006/main" id="1" name="SourcesTable" displayName="SourcesTable" ref="A4:AS29" headerRowCount="1" totalsRowCount="0" totalsRowShown="0">
  <x:autoFilter ref="A4:AS29"/>
  <x:tableColumns count="45">
    <x:tableColumn id="1" name="Source ID"/>
    <x:tableColumn id="2" name="Source title"/>
    <x:tableColumn id="3" name="Source type"/>
    <x:tableColumn id="4" name="Authors"/>
    <x:tableColumn id="5" name="Issuing organisation"/>
    <x:tableColumn id="6" name="Journal"/>
    <x:tableColumn id="7" name="Publication year"/>
    <x:tableColumn id="8" name="Source URL"/>
    <x:tableColumn id="9" name="Canonical URL"/>
    <x:tableColumn id="10" name="Original DOI"/>
    <x:tableColumn id="11" name="PMID"/>
    <x:tableColumn id="12" name="Original PMCID"/>
    <x:tableColumn id="13" name="Study type"/>
    <x:tableColumn id="14" name="Condition applicability"/>
    <x:tableColumn id="15" name="Disease context"/>
    <x:tableColumn id="16" name="Population"/>
    <x:tableColumn id="17" name="Sample size"/>
    <x:tableColumn id="18" name="Country or region"/>
    <x:tableColumn id="19" name="Intervention or exposure"/>
    <x:tableColumn id="20" name="Comparator"/>
    <x:tableColumn id="21" name="Outcomes"/>
    <x:tableColumn id="22" name="Main relevant finding"/>
    <x:tableColumn id="23" name="Limitations"/>
    <x:tableColumn id="24" name="Applicability limitations"/>
    <x:tableColumn id="25" name="Regional applicability"/>
    <x:tableColumn id="26" name="Relevant topics"/>
    <x:tableColumn id="27" name="Original full-text status"/>
    <x:tableColumn id="28" name="Acquisition method"/>
    <x:tableColumn id="29" name="Acquisition status"/>
    <x:tableColumn id="30" name="Source quality"/>
    <x:tableColumn id="31" name="Direct relevance"/>
    <x:tableColumn id="32" name="Original recommendation"/>
    <x:tableColumn id="33" name="Original recommendation reason"/>
    <x:tableColumn id="34" name="Added value"/>
    <x:tableColumn id="35" name="QA status"/>
    <x:tableColumn id="36" name="Verification issue"/>
    <x:tableColumn id="37" name="Superseded status"/>
    <x:tableColumn id="38" name="Verified DOI"/>
    <x:tableColumn id="39" name="Verified PMCID"/>
    <x:tableColumn id="40" name="Verified access status"/>
    <x:tableColumn id="41" name="Authoritative access URL"/>
    <x:tableColumn id="42" name="Supporting passages traceable"/>
    <x:tableColumn id="43" name="Recommended reviewer action"/>
    <x:tableColumn id="44" name="User decision"/>
    <x:tableColumn id="45" name="User notes"/>
  </x:tableColumns>
  <x:tableStyleInfo name="TableStyleMedium2" showFirstColumn="0" showLastColumn="0" showRowStripes="1" showColumnStripes="0"/>
</x:table>
</file>

<file path=xl/tables/table2.xml><?xml version="1.0" encoding="utf-8"?>
<x:table xmlns:x="http://schemas.openxmlformats.org/spreadsheetml/2006/main" id="2" name="ClaimsTable" displayName="ClaimsTable" ref="A4:AM99" headerRowCount="1" totalsRowCount="0" totalsRowShown="0">
  <x:autoFilter ref="A4:AM99"/>
  <x:tableColumns count="39">
    <x:tableColumn id="1" name="Claim ID"/>
    <x:tableColumn id="2" name="Source ID"/>
    <x:tableColumn id="3" name="Source title"/>
    <x:tableColumn id="4" name="Source type"/>
    <x:tableColumn id="5" name="Source URL"/>
    <x:tableColumn id="6" name="Condition applicability"/>
    <x:tableColumn id="7" name="Disease context"/>
    <x:tableColumn id="8" name="Topic"/>
    <x:tableColumn id="9" name="Outcome type"/>
    <x:tableColumn id="10" name="Original candidate claim"/>
    <x:tableColumn id="11" name="Original plain-language explanation"/>
    <x:tableColumn id="12" name="Possible product use"/>
    <x:tableColumn id="13" name="Supporting excerpt"/>
    <x:tableColumn id="14" name="Section heading"/>
    <x:tableColumn id="15" name="Page number"/>
    <x:tableColumn id="16" name="Evidence level"/>
    <x:tableColumn id="17" name="Study type"/>
    <x:tableColumn id="18" name="Population"/>
    <x:tableColumn id="19" name="Sample size"/>
    <x:tableColumn id="20" name="Country or region"/>
    <x:tableColumn id="21" name="Intervention or exposure"/>
    <x:tableColumn id="22" name="Comparator"/>
    <x:tableColumn id="23" name="Outcome"/>
    <x:tableColumn id="24" name="Limitations"/>
    <x:tableColumn id="25" name="Applicability limitations"/>
    <x:tableColumn id="26" name="Regional applicability"/>
    <x:tableColumn id="27" name="Original confidence"/>
    <x:tableColumn id="28" name="Extraction method"/>
    <x:tableColumn id="29" name="Original review status"/>
    <x:tableColumn id="30" name="QA status"/>
    <x:tableColumn id="31" name="Original claim preserved"/>
    <x:tableColumn id="32" name="Proposed revised claim"/>
    <x:tableColumn id="33" name="Revision reason"/>
    <x:tableColumn id="34" name="Verification status"/>
    <x:tableColumn id="35" name="Conflict classification"/>
    <x:tableColumn id="36" name="Recommended reviewer action"/>
    <x:tableColumn id="37" name="User decision"/>
    <x:tableColumn id="38" name="User-edited claim"/>
    <x:tableColumn id="39" name="Reviewer notes"/>
  </x:tableColumns>
  <x:tableStyleInfo name="TableStyleMedium2" showFirstColumn="0" showLastColumn="0" showRowStripes="1" showColumnStripes="0"/>
</x:table>
</file>

<file path=xl/tables/table3.xml><?xml version="1.0" encoding="utf-8"?>
<x:table xmlns:x="http://schemas.openxmlformats.org/spreadsheetml/2006/main" id="3" name="ConflictReviewTable" displayName="ConflictReviewTable" ref="A4:R84" headerRowCount="1" totalsRowCount="0" totalsRowShown="0">
  <x:autoFilter ref="A4:R84"/>
  <x:tableColumns count="18">
    <x:tableColumn id="1" name="Flag ID"/>
    <x:tableColumn id="2" name="Claim IDs"/>
    <x:tableColumn id="3" name="Source IDs"/>
    <x:tableColumn id="4" name="Topic"/>
    <x:tableColumn id="5" name="Primary classification"/>
    <x:tableColumn id="6" name="Secondary classifications"/>
    <x:tableColumn id="7" name="Concise rationale"/>
    <x:tableColumn id="8" name="Both claims may coexist"/>
    <x:tableColumn id="9" name="Source priority"/>
    <x:tableColumn id="10" name="Narrow wording"/>
    <x:tableColumn id="11" name="Recommended human action"/>
    <x:tableColumn id="12" name="Original condition difference"/>
    <x:tableColumn id="13" name="Original disease-state difference"/>
    <x:tableColumn id="14" name="Original population difference"/>
    <x:tableColumn id="15" name="Original evidence-level difference"/>
    <x:tableColumn id="16" name="Original symptom vs inflammation"/>
    <x:tableColumn id="17" name="Original regional difference"/>
    <x:tableColumn id="18" name="Original flag reason"/>
  </x:tableColumns>
  <x:tableStyleInfo name="TableStyleMedium2" showFirstColumn="0" showLastColumn="0" showRowStripes="1" showColumnStripes="0"/>
</x:table>
</file>

<file path=xl/tables/table4.xml><?xml version="1.0" encoding="utf-8"?>
<x:table xmlns:x="http://schemas.openxmlformats.org/spreadsheetml/2006/main" id="4" name="CoverageMatrixTable" displayName="CoverageMatrixTable" ref="A4:E20" headerRowCount="1" totalsRowCount="0" totalsRowShown="0">
  <x:autoFilter ref="A4:E20"/>
  <x:tableColumns count="5">
    <x:tableColumn id="1" name="Coverage dimension"/>
    <x:tableColumn id="2" name="Original candidate claims"/>
    <x:tableColumn id="3" name="Potentially usable after QA"/>
    <x:tableColumn id="4" name="Gap classification"/>
    <x:tableColumn id="5" name="Interpretation and scope limit"/>
  </x:tableColumns>
  <x:tableStyleInfo name="TableStyleMedium2" showFirstColumn="0" showLastColumn="0" showRowStripes="1" showColumnStripes="0"/>
</x:table>
</file>

<file path=xl/tables/table5.xml><?xml version="1.0" encoding="utf-8"?>
<x:table xmlns:x="http://schemas.openxmlformats.org/spreadsheetml/2006/main" id="5" name="AbstractOnlyReviewTable" displayName="AbstractOnlyReviewTable" ref="A4:J13" headerRowCount="1" totalsRowCount="0" totalsRowShown="0">
  <x:autoFilter ref="A4:J13"/>
  <x:tableColumns count="10">
    <x:tableColumn id="1" name="Source ID"/>
    <x:tableColumn id="2" name="Source title"/>
    <x:tableColumn id="3" name="Original status"/>
    <x:tableColumn id="4" name="Legal/public verification routes"/>
    <x:tableColumn id="5" name="Full text became available"/>
    <x:tableColumn id="6" name="Current access status"/>
    <x:tableColumn id="7" name="Authoritative access URL"/>
    <x:tableColumn id="8" name="Confidence handling"/>
    <x:tableColumn id="9" name="Applicability/access limitation"/>
    <x:tableColumn id="10" name="Recommended reviewer action"/>
  </x:tableColumns>
  <x:tableStyleInfo name="TableStyleMedium2" showFirstColumn="0" showLastColumn="0" showRowStripes="1" showColumnStripes="0"/>
</x:table>
</file>

<file path=xl/tables/table6.xml><?xml version="1.0" encoding="utf-8"?>
<x:table xmlns:x="http://schemas.openxmlformats.org/spreadsheetml/2006/main" id="6" name="AccessandVerificationIssuesTable" displayName="AccessandVerificationIssuesTable" ref="A4:H20" headerRowCount="1" totalsRowCount="0" totalsRowShown="0">
  <x:autoFilter ref="A4:H20"/>
  <x:tableColumns count="8">
    <x:tableColumn id="1" name="Issue ID"/>
    <x:tableColumn id="2" name="Source ID"/>
    <x:tableColumn id="3" name="Issue type"/>
    <x:tableColumn id="4" name="Original issue"/>
    <x:tableColumn id="5" name="Verification route"/>
    <x:tableColumn id="6" name="Resolution status"/>
    <x:tableColumn id="7" name="Authoritative URL"/>
    <x:tableColumn id="8" name="Recommended action"/>
  </x:tableColumns>
  <x:tableStyleInfo name="TableStyleMedium2" showFirstColumn="0" showLastColumn="0" showRowStripes="1" showColumnStripes="0"/>
</x:table>
</file>

<file path=xl/tables/table7.xml><?xml version="1.0" encoding="utf-8"?>
<x:table xmlns:x="http://schemas.openxmlformats.org/spreadsheetml/2006/main" id="7" name="RejectedCandidatesTable" displayName="RejectedCandidatesTable" ref="A4:C44" headerRowCount="1" totalsRowCount="0" totalsRowShown="0">
  <x:autoFilter ref="A4:C44"/>
  <x:tableColumns count="3">
    <x:tableColumn id="1" name="Rejected or deferred candidate"/>
    <x:tableColumn id="2" name="Original decision reason"/>
    <x:tableColumn id="3" name="QA dispos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4d410154484400" /></Relationships>
</file>

<file path=xl/worksheets/_rels/sheet2.xml.rels>&#65279;<?xml version="1.0" encoding="utf-8"?><Relationships xmlns="http://schemas.openxmlformats.org/package/2006/relationships"><Relationship Type="http://schemas.openxmlformats.org/officeDocument/2006/relationships/table" Target="/xl/tables/table2.xml" Id="R462069d29477460f" /></Relationships>
</file>

<file path=xl/worksheets/_rels/sheet3.xml.rels>&#65279;<?xml version="1.0" encoding="utf-8"?><Relationships xmlns="http://schemas.openxmlformats.org/package/2006/relationships"><Relationship Type="http://schemas.openxmlformats.org/officeDocument/2006/relationships/table" Target="/xl/tables/table3.xml" Id="Raf703b337aea4a4b" /></Relationships>
</file>

<file path=xl/worksheets/_rels/sheet4.xml.rels>&#65279;<?xml version="1.0" encoding="utf-8"?><Relationships xmlns="http://schemas.openxmlformats.org/package/2006/relationships"><Relationship Type="http://schemas.openxmlformats.org/officeDocument/2006/relationships/table" Target="/xl/tables/table4.xml" Id="R487cdea806e84904" /></Relationships>
</file>

<file path=xl/worksheets/_rels/sheet5.xml.rels>&#65279;<?xml version="1.0" encoding="utf-8"?><Relationships xmlns="http://schemas.openxmlformats.org/package/2006/relationships"><Relationship Type="http://schemas.openxmlformats.org/officeDocument/2006/relationships/table" Target="/xl/tables/table5.xml" Id="R1dd654dc7cec4cb2" /></Relationships>
</file>

<file path=xl/worksheets/_rels/sheet6.xml.rels>&#65279;<?xml version="1.0" encoding="utf-8"?><Relationships xmlns="http://schemas.openxmlformats.org/package/2006/relationships"><Relationship Type="http://schemas.openxmlformats.org/officeDocument/2006/relationships/table" Target="/xl/tables/table6.xml" Id="R338ab5ebcdc4493c" /></Relationships>
</file>

<file path=xl/worksheets/_rels/sheet7.xml.rels>&#65279;<?xml version="1.0" encoding="utf-8"?><Relationships xmlns="http://schemas.openxmlformats.org/package/2006/relationships"><Relationship Type="http://schemas.openxmlformats.org/officeDocument/2006/relationships/table" Target="/xl/tables/table7.xml" Id="R27b92273350e4967"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0" hidden="0" customWidth="1"/>
    <x:col min="3" max="3" width="15" hidden="0" customWidth="1"/>
    <x:col min="4" max="4" width="36" hidden="0" customWidth="1"/>
    <x:col min="5" max="5" width="24" hidden="0" customWidth="1"/>
    <x:col min="6" max="6" width="24" hidden="0" customWidth="1"/>
    <x:col min="7" max="7" width="12" hidden="0" customWidth="1"/>
    <x:col min="8" max="8" width="34" hidden="0" customWidth="1"/>
    <x:col min="9" max="9" width="34" hidden="0" customWidth="1"/>
    <x:col min="10" max="10" width="24" hidden="0" customWidth="1"/>
    <x:col min="11" max="11" width="12" hidden="0" customWidth="1"/>
    <x:col min="12" max="12" width="16" hidden="0" customWidth="1"/>
    <x:col min="13" max="13" width="22" hidden="0" customWidth="1"/>
    <x:col min="14" max="14" width="24" hidden="0" customWidth="1"/>
    <x:col min="15" max="15" width="24" hidden="0" customWidth="1"/>
    <x:col min="16" max="16" width="30" hidden="0" customWidth="1"/>
    <x:col min="17" max="17" width="18" hidden="0" customWidth="1"/>
    <x:col min="18" max="18" width="18" hidden="0" customWidth="1"/>
    <x:col min="19" max="19" width="32" hidden="0" customWidth="1"/>
    <x:col min="20" max="20" width="30" hidden="0" customWidth="1"/>
    <x:col min="21" max="21" width="28" hidden="0" customWidth="1"/>
    <x:col min="22" max="22" width="44" hidden="0" customWidth="1"/>
    <x:col min="23" max="23" width="40" hidden="0" customWidth="1"/>
    <x:col min="24" max="24" width="40" hidden="0" customWidth="1"/>
    <x:col min="25" max="25" width="40" hidden="0" customWidth="1"/>
    <x:col min="26" max="26" width="26" hidden="0" customWidth="1"/>
    <x:col min="27" max="27" width="20" hidden="0" customWidth="1"/>
    <x:col min="28" max="28" width="22" hidden="0" customWidth="1"/>
    <x:col min="29" max="29" width="18" hidden="0" customWidth="1"/>
    <x:col min="30" max="30" width="14" hidden="0" customWidth="1"/>
    <x:col min="31" max="31" width="14" hidden="0" customWidth="1"/>
    <x:col min="32" max="32" width="18" hidden="0" customWidth="1"/>
    <x:col min="33" max="33" width="36" hidden="0" customWidth="1"/>
    <x:col min="34" max="34" width="30" hidden="0" customWidth="1"/>
    <x:col min="35" max="35" width="24" hidden="0" customWidth="1"/>
    <x:col min="36" max="36" width="54" hidden="0" customWidth="1"/>
    <x:col min="37" max="37" width="28" hidden="0" customWidth="1"/>
    <x:col min="38" max="38" width="24" hidden="0" customWidth="1"/>
    <x:col min="39" max="39" width="18" hidden="0" customWidth="1"/>
    <x:col min="40" max="40" width="30" hidden="0" customWidth="1"/>
    <x:col min="41" max="41" width="38" hidden="0" customWidth="1"/>
    <x:col min="42" max="42" width="26" hidden="0" customWidth="1"/>
    <x:col min="43" max="43" width="44" hidden="0" customWidth="1"/>
    <x:col min="44" max="44" width="22" hidden="0" customWidth="1"/>
    <x:col min="45" max="45" width="36" hidden="0" customWidth="1"/>
  </x:cols>
  <x:sheetData>
    <x:row r="1" ht="30" customHeight="1">
      <x:c r="A1" s="3" t="str">
        <x:v>IBD evidence sources — QA review</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row>
    <x:row r="2" ht="42" customHeight="1">
      <x:c r="A2" s="7" t="str">
        <x:v>No source is approved. Original metadata is preserved; corrected metadata and verification issues are shown beside it. Yellow columns are blank human inputs.</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c r="AO2" s="7"/>
      <x:c r="AP2" s="7"/>
      <x:c r="AQ2" s="7"/>
      <x:c r="AR2" s="7"/>
      <x:c r="AS2" s="7"/>
    </x:row>
    <x:row r="4" ht="38" customHeight="1">
      <x:c r="A4" s="16" t="str">
        <x:v>Source ID</x:v>
      </x:c>
      <x:c r="B4" s="17" t="str">
        <x:v>Source title</x:v>
      </x:c>
      <x:c r="C4" s="17" t="str">
        <x:v>Source type</x:v>
      </x:c>
      <x:c r="D4" s="17" t="str">
        <x:v>Authors</x:v>
      </x:c>
      <x:c r="E4" s="17" t="str">
        <x:v>Issuing organisation</x:v>
      </x:c>
      <x:c r="F4" s="17" t="str">
        <x:v>Journal</x:v>
      </x:c>
      <x:c r="G4" s="17" t="str">
        <x:v>Publication year</x:v>
      </x:c>
      <x:c r="H4" s="17" t="str">
        <x:v>Source URL</x:v>
      </x:c>
      <x:c r="I4" s="17" t="str">
        <x:v>Canonical URL</x:v>
      </x:c>
      <x:c r="J4" s="17" t="str">
        <x:v>Original DOI</x:v>
      </x:c>
      <x:c r="K4" s="17" t="str">
        <x:v>PMID</x:v>
      </x:c>
      <x:c r="L4" s="17" t="str">
        <x:v>Original PMCID</x:v>
      </x:c>
      <x:c r="M4" s="17" t="str">
        <x:v>Study type</x:v>
      </x:c>
      <x:c r="N4" s="17" t="str">
        <x:v>Condition applicability</x:v>
      </x:c>
      <x:c r="O4" s="17" t="str">
        <x:v>Disease context</x:v>
      </x:c>
      <x:c r="P4" s="17" t="str">
        <x:v>Population</x:v>
      </x:c>
      <x:c r="Q4" s="17" t="str">
        <x:v>Sample size</x:v>
      </x:c>
      <x:c r="R4" s="17" t="str">
        <x:v>Country or region</x:v>
      </x:c>
      <x:c r="S4" s="17" t="str">
        <x:v>Intervention or exposure</x:v>
      </x:c>
      <x:c r="T4" s="17" t="str">
        <x:v>Comparator</x:v>
      </x:c>
      <x:c r="U4" s="17" t="str">
        <x:v>Outcomes</x:v>
      </x:c>
      <x:c r="V4" s="17" t="str">
        <x:v>Main relevant finding</x:v>
      </x:c>
      <x:c r="W4" s="17" t="str">
        <x:v>Limitations</x:v>
      </x:c>
      <x:c r="X4" s="17" t="str">
        <x:v>Applicability limitations</x:v>
      </x:c>
      <x:c r="Y4" s="17" t="str">
        <x:v>Regional applicability</x:v>
      </x:c>
      <x:c r="Z4" s="17" t="str">
        <x:v>Relevant topics</x:v>
      </x:c>
      <x:c r="AA4" s="17" t="str">
        <x:v>Original full-text status</x:v>
      </x:c>
      <x:c r="AB4" s="17" t="str">
        <x:v>Acquisition method</x:v>
      </x:c>
      <x:c r="AC4" s="17" t="str">
        <x:v>Acquisition status</x:v>
      </x:c>
      <x:c r="AD4" s="17" t="str">
        <x:v>Source quality</x:v>
      </x:c>
      <x:c r="AE4" s="17" t="str">
        <x:v>Direct relevance</x:v>
      </x:c>
      <x:c r="AF4" s="17" t="str">
        <x:v>Original recommendation</x:v>
      </x:c>
      <x:c r="AG4" s="17" t="str">
        <x:v>Original recommendation reason</x:v>
      </x:c>
      <x:c r="AH4" s="17" t="str">
        <x:v>Added value</x:v>
      </x:c>
      <x:c r="AI4" s="17" t="str">
        <x:v>QA status</x:v>
      </x:c>
      <x:c r="AJ4" s="17" t="str">
        <x:v>Verification issue</x:v>
      </x:c>
      <x:c r="AK4" s="17" t="str">
        <x:v>Superseded status</x:v>
      </x:c>
      <x:c r="AL4" s="17" t="str">
        <x:v>Verified DOI</x:v>
      </x:c>
      <x:c r="AM4" s="17" t="str">
        <x:v>Verified PMCID</x:v>
      </x:c>
      <x:c r="AN4" s="17" t="str">
        <x:v>Verified access status</x:v>
      </x:c>
      <x:c r="AO4" s="17" t="str">
        <x:v>Authoritative access URL</x:v>
      </x:c>
      <x:c r="AP4" s="17" t="str">
        <x:v>Supporting passages traceable</x:v>
      </x:c>
      <x:c r="AQ4" s="17" t="str">
        <x:v>Recommended reviewer action</x:v>
      </x:c>
      <x:c r="AR4" s="17" t="str">
        <x:v>User decision</x:v>
      </x:c>
      <x:c r="AS4" s="18" t="str">
        <x:v>User notes</x:v>
      </x:c>
    </x:row>
    <x:row r="5" ht="84" customHeight="1">
      <x:c r="A5" s="26" t="str">
        <x:v>SRC-001</x:v>
      </x:c>
      <x:c r="B5" s="26" t="str">
        <x:v>British Society of Gastroenterology guidelines on inflammatory bowel disease in adults: 2025.</x:v>
      </x:c>
      <x:c r="C5" s="26" t="str">
        <x:v>guideline</x:v>
      </x:c>
      <x:c r="D5" s="26" t="str">
        <x:v>Gordon W Moran; Morris Gordon; Vassiliki Sinopolou; Shellie J Radford; Ana-Maria Darie; Sudheer Kumar Vuyyuru; Laith Alrubaiy; Naila Arebi; Jonathan Blackwell; Thomas D Butler; Thean Chew; Michael Colwill; Rachel Cooney; Gabriele De Marco; Said Din; Shahida Din; Roger Feakins; Marco Gasparetto; Hannah Gordon; Richard Hansen; Klaartje B Kok; Christopher Andrew Lamb; Jimmy Limdi; Eleanor Liu; Maurice B Loughrey; Dennis McGonagle; Kamal Patel; Polychronis Pavlidis; Christian Selinger; Matthew Shale; Philip J Smith; Sreedhar Subramanian; Stuart A Taylor; Gloria Shwe Zin Tun; Ajay Mark Verma; Newton A C S Wong; IBD guideline development group</x:v>
      </x:c>
      <x:c r="E5" s="26" t="str"/>
      <x:c r="F5" s="26" t="str">
        <x:v>Gut</x:v>
      </x:c>
      <x:c r="G5" s="26" t="n">
        <x:v>2025</x:v>
      </x:c>
      <x:c r="H5" s="26" t="str">
        <x:v>https://pubmed.ncbi.nlm.nih.gov/40550582/</x:v>
      </x:c>
      <x:c r="I5" s="26" t="str">
        <x:v>https://pubmed.ncbi.nlm.nih.gov/40550582/</x:v>
      </x:c>
      <x:c r="J5" s="26" t="str">
        <x:v>10.1136/gutjnl-2024-334395</x:v>
      </x:c>
      <x:c r="K5" s="26" t="str">
        <x:v>40550582</x:v>
      </x:c>
      <x:c r="L5" s="26" t="str"/>
      <x:c r="M5" s="26" t="str">
        <x:v>clinical guideline</x:v>
      </x:c>
      <x:c r="N5" s="26" t="str">
        <x:v>ibd_general</x:v>
      </x:c>
      <x:c r="O5" s="26" t="str">
        <x:v>remission</x:v>
      </x:c>
      <x:c r="P5" s="26" t="str">
        <x:v>People with IBD or source-defined population; details require full-text review</x:v>
      </x:c>
      <x:c r="Q5" s="26" t="str">
        <x:v>Not reported in extracted metadata</x:v>
      </x:c>
      <x:c r="R5" s="26" t="str">
        <x:v>International</x:v>
      </x:c>
      <x:c r="S5" s="26" t="str">
        <x:v>Diet, nutrition, or lifestyle exposure/intervention as specified by the source</x:v>
      </x:c>
      <x:c r="T5" s="26" t="str">
        <x:v>As specified by the source; not always reported in the abstract</x:v>
      </x:c>
      <x:c r="U5" s="26" t="str">
        <x:v>remission induction or maintenance (as specified)</x:v>
      </x:c>
      <x:c r="V5" s="26" t="str">
        <x:v>Formulated through a systematic and transparent process, this document reflects a consensus of best practices based on current evidence.</x:v>
      </x:c>
      <x:c r="W5" s="26" t="str">
        <x:v>Automated metadata and passage extraction; full methods and tables require human review. Abstract-only record limits appraisal.</x:v>
      </x:c>
      <x:c r="X5" s="26" t="str">
        <x:v>Region was not clearly North American; practical transferability requires local dietetic and healthcare context.</x:v>
      </x:c>
      <x:c r="Y5" s="26" t="str">
        <x:v>Scientifically relevant to Canada/US if disease context and intervention are comparable; food availability, cuisine, fortification, cost, cultural fit, and healthcare delivery may differ.</x:v>
      </x:c>
      <x:c r="Z5" s="26" t="str">
        <x:v>symptoms_vs_inflammation</x:v>
      </x:c>
      <x:c r="AA5" s="26" t="str">
        <x:v>abstract_only</x:v>
      </x:c>
      <x:c r="AB5" s="26" t="str">
        <x:v>PubMed abstract</x:v>
      </x:c>
      <x:c r="AC5" s="26" t="str">
        <x:v>acquired</x:v>
      </x:c>
      <x:c r="AD5" s="26" t="str">
        <x:v>moderate</x:v>
      </x:c>
      <x:c r="AE5" s="26" t="str">
        <x:v>direct</x:v>
      </x:c>
      <x:c r="AF5" s="26" t="str">
        <x:v>select</x:v>
      </x:c>
      <x:c r="AG5" s="26" t="str">
        <x:v>Selected for authority, evidence level, topical coverage, and direct IBD relevance.</x:v>
      </x:c>
      <x:c r="AH5" s="26" t="str">
        <x:v>Adds coverage for: symptoms_vs_inflammation.</x:v>
      </x:c>
      <x:c r="AI5" s="26" t="str">
        <x:v>ready_for_review</x:v>
      </x:c>
      <x:c r="AJ5" s="26" t="str">
        <x:v>Metadata and public supporting material were reconciled; no material integrity issue found in this pass.</x:v>
      </x:c>
      <x:c r="AK5" s="26" t="str">
        <x:v>not_identified_as_superseded</x:v>
      </x:c>
      <x:c r="AL5" s="26" t="str">
        <x:v>10.1136/gutjnl-2024-334395</x:v>
      </x:c>
      <x:c r="AM5" s="26" t="str"/>
      <x:c r="AN5" s="26" t="str">
        <x:v>public_full_text_found</x:v>
      </x:c>
      <x:c r="AO5" s="26" t="str">
        <x:v>https://discovery.ucl.ac.uk/id/eprint/10210552/</x:v>
      </x:c>
      <x:c r="AP5" s="26" t="str">
        <x:v>Yes—public abstract</x:v>
      </x:c>
      <x:c r="AQ5" s="26" t="str">
        <x:v>Review the verified passage and decide; do not approve automatically.</x:v>
      </x:c>
      <x:c r="AR5" s="29" t="str"/>
      <x:c r="AS5" s="29" t="str"/>
    </x:row>
    <x:row r="6" ht="84" customHeight="1">
      <x:c r="A6" s="27" t="str">
        <x:v>SRC-002</x:v>
      </x:c>
      <x:c r="B6" s="27" t="str">
        <x:v>AGA Clinical Practice Update on Diet and Nutritional Therapies in Patients With Inflammatory Bowel Disease: Expert Review.</x:v>
      </x:c>
      <x:c r="C6" s="27" t="str">
        <x:v>guideline</x:v>
      </x:c>
      <x:c r="D6" s="27" t="str">
        <x:v>Jana G Hashash; Jaclyn Elkins; James D Lewis; David G Binion</x:v>
      </x:c>
      <x:c r="E6" s="27" t="str"/>
      <x:c r="F6" s="27" t="str">
        <x:v>Gastroenterology</x:v>
      </x:c>
      <x:c r="G6" s="27" t="n">
        <x:v>2024</x:v>
      </x:c>
      <x:c r="H6" s="27" t="str">
        <x:v>https://pubmed.ncbi.nlm.nih.gov/38276922/</x:v>
      </x:c>
      <x:c r="I6" s="27" t="str">
        <x:v>https://pubmed.ncbi.nlm.nih.gov/38276922/</x:v>
      </x:c>
      <x:c r="J6" s="27" t="str">
        <x:v>10.1053/j.gastro.2023.11.303</x:v>
      </x:c>
      <x:c r="K6" s="27" t="str">
        <x:v>38276922</x:v>
      </x:c>
      <x:c r="L6" s="27" t="str"/>
      <x:c r="M6" s="27" t="str">
        <x:v>clinical guideline</x:v>
      </x:c>
      <x:c r="N6" s="27" t="str">
        <x:v>ulcerative_colitis; crohns_disease; ibd_general</x:v>
      </x:c>
      <x:c r="O6" s="27" t="str">
        <x:v>active_disease; remission; post_surgery</x:v>
      </x:c>
      <x:c r="P6" s="27" t="str">
        <x:v>Children or adolescents with IBD, as specified</x:v>
      </x:c>
      <x:c r="Q6" s="27" t="str">
        <x:v>Not reported in extracted metadata</x:v>
      </x:c>
      <x:c r="R6" s="27" t="str">
        <x:v>United States</x:v>
      </x:c>
      <x:c r="S6" s="27" t="str">
        <x:v>Diet, nutrition, or lifestyle exposure/intervention as specified by the source</x:v>
      </x:c>
      <x:c r="T6" s="27" t="str">
        <x:v>As specified by the source; not always reported in the abstract</x:v>
      </x:c>
      <x:c r="U6" s="27" t="str">
        <x:v>remission induction or maintenance (as specified)</x:v>
      </x:c>
      <x:c r="V6" s="27" t="str">
        <x:v>Dietary restrictions, along with the clinical complications of IBD, can result in malnutrition, an underrecognized condition among this patient population.</x:v>
      </x:c>
      <x:c r="W6" s="27" t="str">
        <x:v>Automated metadata and passage extraction; full methods and tables require human review. Abstract-only record limits appraisal.</x:v>
      </x:c>
      <x:c r="X6" s="27" t="str">
        <x:v>Region was not clearly North American; practical transferability requires local dietetic and healthcare context.</x:v>
      </x:c>
      <x:c r="Y6" s="27" t="str">
        <x:v>Scientifically relevant to Canada/US if disease context and intervention are comparable; food availability, cuisine, fortification, cost, cultural fit, and healthcare delivery may differ.</x:v>
      </x:c>
      <x:c r="Z6" s="27" t="str">
        <x:v>dietary_patterns; ultra_processed; fibre; red_processed_meat; fruit_vegetables; enteral_nutrition</x:v>
      </x:c>
      <x:c r="AA6" s="27" t="str">
        <x:v>abstract_only</x:v>
      </x:c>
      <x:c r="AB6" s="27" t="str">
        <x:v>PubMed abstract</x:v>
      </x:c>
      <x:c r="AC6" s="27" t="str">
        <x:v>acquired</x:v>
      </x:c>
      <x:c r="AD6" s="27" t="str">
        <x:v>moderate</x:v>
      </x:c>
      <x:c r="AE6" s="27" t="str">
        <x:v>direct</x:v>
      </x:c>
      <x:c r="AF6" s="27" t="str">
        <x:v>select</x:v>
      </x:c>
      <x:c r="AG6" s="27" t="str">
        <x:v>Selected for authority, evidence level, topical coverage, and direct IBD relevance.</x:v>
      </x:c>
      <x:c r="AH6" s="27" t="str">
        <x:v>Adds coverage for: dietary_patterns, ultra_processed, fibre, red_processed_meat, fruit_vegetables, enteral_nutrition.</x:v>
      </x:c>
      <x:c r="AI6" s="27" t="str">
        <x:v>insufficient_access</x:v>
      </x:c>
      <x:c r="AJ6" s="27" t="str">
        <x:v>No legitimate public full text was located; claims must remain limited to the public abstract.</x:v>
      </x:c>
      <x:c r="AK6" s="27" t="str">
        <x:v>not_identified_as_superseded</x:v>
      </x:c>
      <x:c r="AL6" s="27" t="str">
        <x:v>10.1053/j.gastro.2023.11.303</x:v>
      </x:c>
      <x:c r="AM6" s="27" t="str"/>
      <x:c r="AN6" s="27" t="str">
        <x:v>abstract_only</x:v>
      </x:c>
      <x:c r="AO6" s="27" t="str">
        <x:v>https://pubmed.ncbi.nlm.nih.gov/38276922/</x:v>
      </x:c>
      <x:c r="AP6" s="27" t="str">
        <x:v>Yes—public abstract</x:v>
      </x:c>
      <x:c r="AQ6" s="27" t="str">
        <x:v>Approve only claims fully supported by the abstract and explicitly limited; otherwise reject or request full text.</x:v>
      </x:c>
      <x:c r="AR6" s="30" t="str"/>
      <x:c r="AS6" s="30" t="str"/>
    </x:row>
    <x:row r="7" ht="84" customHeight="1">
      <x:c r="A7" s="27" t="str">
        <x:v>SRC-003</x:v>
      </x:c>
      <x:c r="B7" s="27" t="str">
        <x:v>ESPEN guideline: Clinical nutrition in inflammatory bowel disease.</x:v>
      </x:c>
      <x:c r="C7" s="27" t="str">
        <x:v>guideline</x:v>
      </x:c>
      <x:c r="D7" s="27" t="str">
        <x:v>Alastair Forbes; Johanna Escher; Xavier Hébuterne; Stanisław Kłęk; Zeljko Krznaric; Stéphane Schneider; Raanan Shamir; Kalina Stardelova; Nicolette Wierdsma; Anthony E Wiskin; Stephan C Bischoff</x:v>
      </x:c>
      <x:c r="E7" s="27" t="str"/>
      <x:c r="F7" s="27" t="str">
        <x:v>Clinical nutrition (Edinburgh, Scotland)</x:v>
      </x:c>
      <x:c r="G7" s="27" t="n">
        <x:v>2017</x:v>
      </x:c>
      <x:c r="H7" s="27" t="str">
        <x:v>https://pubmed.ncbi.nlm.nih.gov/28131521/</x:v>
      </x:c>
      <x:c r="I7" s="27" t="str">
        <x:v>https://pubmed.ncbi.nlm.nih.gov/28131521/</x:v>
      </x:c>
      <x:c r="J7" s="27" t="str">
        <x:v>10.1016/j.clnu.2016.12.027</x:v>
      </x:c>
      <x:c r="K7" s="27" t="str">
        <x:v>28131521</x:v>
      </x:c>
      <x:c r="L7" s="27" t="str"/>
      <x:c r="M7" s="27" t="str">
        <x:v>clinical guideline</x:v>
      </x:c>
      <x:c r="N7" s="27" t="str">
        <x:v>ulcerative_colitis; crohns_disease; ibd_general</x:v>
      </x:c>
      <x:c r="O7" s="27" t="str">
        <x:v>post_surgery</x:v>
      </x:c>
      <x:c r="P7" s="27" t="str">
        <x:v>Children or adolescents with IBD, as specified</x:v>
      </x:c>
      <x:c r="Q7" s="27" t="str">
        <x:v>Not reported in extracted metadata</x:v>
      </x:c>
      <x:c r="R7" s="27" t="str">
        <x:v>Not reported in abstract</x:v>
      </x:c>
      <x:c r="S7" s="27" t="str">
        <x:v>Diet, nutrition, or lifestyle exposure/intervention as specified by the source</x:v>
      </x:c>
      <x:c r="T7" s="27" t="str">
        <x:v>As specified by the source; not always reported in the abstract</x:v>
      </x:c>
      <x:c r="U7" s="27" t="str">
        <x:v>disease activity or topic-specific outcome as reported</x:v>
      </x:c>
      <x:c r="V7" s="27" t="str">
        <x:v>Treatment of iron deficiency (parenterally if necessary) is strongly recommended.</x:v>
      </x:c>
      <x:c r="W7" s="27" t="str">
        <x:v>Automated metadata and passage extraction; full methods and tables require human review. Abstract-only record limits appraisal.</x:v>
      </x:c>
      <x:c r="X7" s="27" t="str">
        <x:v>Region was not clearly North American; practical transferability requires local dietetic and healthcare context.</x:v>
      </x:c>
      <x:c r="Y7" s="27" t="str">
        <x:v>Scientifically relevant to Canada/US if disease context and intervention are comparable; food availability, cuisine, fortification, cost, cultural fit, and healthcare delivery may differ.</x:v>
      </x:c>
      <x:c r="Z7" s="27" t="str">
        <x:v>probiotics_prebiotics; enteral_nutrition; nutrition_status; post_surgery</x:v>
      </x:c>
      <x:c r="AA7" s="27" t="str">
        <x:v>abstract_only</x:v>
      </x:c>
      <x:c r="AB7" s="27" t="str">
        <x:v>PubMed abstract</x:v>
      </x:c>
      <x:c r="AC7" s="27" t="str">
        <x:v>acquired</x:v>
      </x:c>
      <x:c r="AD7" s="27" t="str">
        <x:v>moderate</x:v>
      </x:c>
      <x:c r="AE7" s="27" t="str">
        <x:v>direct</x:v>
      </x:c>
      <x:c r="AF7" s="27" t="str">
        <x:v>select</x:v>
      </x:c>
      <x:c r="AG7" s="27" t="str">
        <x:v>Selected for authority, evidence level, topical coverage, and direct IBD relevance.</x:v>
      </x:c>
      <x:c r="AH7" s="27" t="str">
        <x:v>Adds coverage for: probiotics_prebiotics, enteral_nutrition, nutrition_status, post_surgery.</x:v>
      </x:c>
      <x:c r="AI7" s="27" t="str">
        <x:v>superseded</x:v>
      </x:c>
      <x:c r="AJ7" s="27" t="str">
        <x:v>The 2017 ESPEN guideline has been superseded by the 2023 ESPEN guideline on Clinical Nutrition in IBD.</x:v>
      </x:c>
      <x:c r="AK7" s="27" t="str">
        <x:v>superseded_by_2023_espen_guideline</x:v>
      </x:c>
      <x:c r="AL7" s="27" t="str">
        <x:v>10.1016/j.clnu.2016.12.027</x:v>
      </x:c>
      <x:c r="AM7" s="27" t="str"/>
      <x:c r="AN7" s="27" t="str">
        <x:v>public_full_text_found_but_superseded</x:v>
      </x:c>
      <x:c r="AO7" s="27" t="str">
        <x:v>https://www.espen.org/files/ESPEN-guideline_Clinical-nutrition-in-inflammatory-bowel-disease.pdf</x:v>
      </x:c>
      <x:c r="AP7" s="27" t="str">
        <x:v>Yes—public abstract</x:v>
      </x:c>
      <x:c r="AQ7" s="27" t="str">
        <x:v>Do not approve as current guidance; compare with the 2023 update and replace or retire.</x:v>
      </x:c>
      <x:c r="AR7" s="30" t="str"/>
      <x:c r="AS7" s="30" t="str"/>
    </x:row>
    <x:row r="8" ht="84" customHeight="1">
      <x:c r="A8" s="27" t="str">
        <x:v>SRC-004</x:v>
      </x:c>
      <x:c r="B8" s="27" t="str">
        <x:v>Diet, Food, and Nutritional Exposures and Inflammatory Bowel Disease or Progression of Disease: an Umbrella Review.</x:v>
      </x:c>
      <x:c r="C8" s="27" t="str">
        <x:v>review</x:v>
      </x:c>
      <x:c r="D8" s="27" t="str">
        <x:v>Camilla Christensen; Andrea Knudsen; Erik K Arnesen; Jan Gunnar Hatlebakk; Ida Sofie Sletten; Lars T Fadnes</x:v>
      </x:c>
      <x:c r="E8" s="27" t="str"/>
      <x:c r="F8" s="27" t="str">
        <x:v>Advances in nutrition (Bethesda, Md.)</x:v>
      </x:c>
      <x:c r="G8" s="27" t="n">
        <x:v>2024</x:v>
      </x:c>
      <x:c r="H8" s="27" t="str">
        <x:v>https://pubmed.ncbi.nlm.nih.gov/38599319/</x:v>
      </x:c>
      <x:c r="I8" s="27" t="str">
        <x:v>https://pubmed.ncbi.nlm.nih.gov/38599319/</x:v>
      </x:c>
      <x:c r="J8" s="27" t="str">
        <x:v>10.3390/microorganisms8111638</x:v>
      </x:c>
      <x:c r="K8" s="27" t="str">
        <x:v>38599319</x:v>
      </x:c>
      <x:c r="L8" s="27" t="str">
        <x:v>PMC7690730</x:v>
      </x:c>
      <x:c r="M8" s="27" t="str">
        <x:v>systematic review</x:v>
      </x:c>
      <x:c r="N8" s="27" t="str">
        <x:v>ulcerative_colitis; crohns_disease; ibd_general</x:v>
      </x:c>
      <x:c r="O8" s="27" t="str">
        <x:v>general_or_unspecified</x:v>
      </x:c>
      <x:c r="P8" s="27" t="str">
        <x:v>People with IBD or source-defined population; details require full-text review</x:v>
      </x:c>
      <x:c r="Q8" s="27" t="str">
        <x:v>Not reported in extracted metadata</x:v>
      </x:c>
      <x:c r="R8" s="27" t="str">
        <x:v>Not reported in abstract</x:v>
      </x:c>
      <x:c r="S8" s="27" t="str">
        <x:v>Diet, nutrition, or lifestyle exposure/intervention as specified by the source</x:v>
      </x:c>
      <x:c r="T8" s="27" t="str">
        <x:v>As specified by the source; not always reported in the abstract</x:v>
      </x:c>
      <x:c r="U8" s="27" t="str">
        <x:v>biomarkers and/or inflammation</x:v>
      </x:c>
      <x:c r="V8" s="27" t="str">
        <x:v>Dietary factors associated with an increased incidence and/or progression of IBD include a high intake of red and processed meat, other processed foods, and refined sugars, together with a low intake of vegetables, fruits, and fiber.</x:v>
      </x:c>
      <x:c r="W8" s="27" t="str">
        <x:v>Automated metadata and passage extraction; full methods and tables require human review. Public full text available for deeper review.</x:v>
      </x:c>
      <x:c r="X8" s="27" t="str">
        <x:v>Region was not clearly North American; practical transferability requires local dietetic and healthcare context.</x:v>
      </x:c>
      <x:c r="Y8" s="27" t="str">
        <x:v>Scientifically relevant to Canada/US if disease context and intervention are comparable; food availability, cuisine, fortification, cost, cultural fit, and healthcare delivery may differ.</x:v>
      </x:c>
      <x:c r="Z8" s="27" t="str">
        <x:v>dietary_patterns; ultra_processed; fibre; dairy_lactose; red_processed_meat; fruit_vegetables</x:v>
      </x:c>
      <x:c r="AA8" s="27" t="str">
        <x:v>public_full_text</x:v>
      </x:c>
      <x:c r="AB8" s="27" t="str">
        <x:v>PMC BioC XML</x:v>
      </x:c>
      <x:c r="AC8" s="27" t="str">
        <x:v>acquired</x:v>
      </x:c>
      <x:c r="AD8" s="27" t="str">
        <x:v>high</x:v>
      </x:c>
      <x:c r="AE8" s="27" t="str">
        <x:v>direct</x:v>
      </x:c>
      <x:c r="AF8" s="27" t="str">
        <x:v>select</x:v>
      </x:c>
      <x:c r="AG8" s="27" t="str">
        <x:v>Selected for authority, evidence level, topical coverage, and direct IBD relevance.</x:v>
      </x:c>
      <x:c r="AH8" s="27" t="str">
        <x:v>Adds coverage for: dietary_patterns, ultra_processed, fibre, dairy_lactose, red_processed_meat, fruit_vegetables.</x:v>
      </x:c>
      <x:c r="AI8" s="27" t="str">
        <x:v>needs_verification</x:v>
      </x:c>
      <x:c r="AJ8" s="27" t="str">
        <x:v>Original public-full-text acquisition is mismatched to the cited PubMed record; original DOI/PMCID '10.3390/microorganisms8111638'/'PMC7690730' must not be used. Verified DOI/PMCID: '10.1016/j.advnut.2024.100219'/'PMC11063602'.</x:v>
      </x:c>
      <x:c r="AK8" s="27" t="str">
        <x:v>not_identified_as_superseded</x:v>
      </x:c>
      <x:c r="AL8" s="27" t="str">
        <x:v>10.1016/j.advnut.2024.100219</x:v>
      </x:c>
      <x:c r="AM8" s="27" t="str">
        <x:v>PMC11063602</x:v>
      </x:c>
      <x:c r="AN8" s="27" t="str">
        <x:v>public_full_text_found</x:v>
      </x:c>
      <x:c r="AO8" s="27" t="str">
        <x:v>https://pmc.ncbi.nlm.nih.gov/articles/PMC11063602/</x:v>
      </x:c>
      <x:c r="AP8" s="27" t="str">
        <x:v>Yes—public abstract</x:v>
      </x:c>
      <x:c r="AQ8" s="27" t="str">
        <x:v>Replace incorrect DOI/PMCID/acquisition metadata and review the correct full text before source approval.</x:v>
      </x:c>
      <x:c r="AR8" s="30" t="str"/>
      <x:c r="AS8" s="30" t="str"/>
    </x:row>
    <x:row r="9" ht="84" customHeight="1">
      <x:c r="A9" s="27" t="str">
        <x:v>SRC-005</x:v>
      </x:c>
      <x:c r="B9" s="27" t="str">
        <x:v>Dietary Interventions for the Treatment of Inflammatory Bowel Diseases: An Updated Systematic Review and Meta-analysis.</x:v>
      </x:c>
      <x:c r="C9" s="27" t="str">
        <x:v>review</x:v>
      </x:c>
      <x:c r="D9" s="27" t="str">
        <x:v>Berkeley N Limketkai; Gala Godoy-Brewer; Alyssa M Parian; Shaya Noorian; Mahesh Krishna; Neha D Shah; Jacob White; Gerard E Mullin</x:v>
      </x:c>
      <x:c r="E9" s="27" t="str"/>
      <x:c r="F9" s="27" t="str">
        <x:v>Clinical gastroenterology and hepatology : the official clinical practice journal of the American Gastroenterological Association</x:v>
      </x:c>
      <x:c r="G9" s="27" t="n">
        <x:v>2023</x:v>
      </x:c>
      <x:c r="H9" s="27" t="str">
        <x:v>https://pubmed.ncbi.nlm.nih.gov/36470529/</x:v>
      </x:c>
      <x:c r="I9" s="27" t="str">
        <x:v>https://pubmed.ncbi.nlm.nih.gov/36470529/</x:v>
      </x:c>
      <x:c r="J9" s="27" t="str">
        <x:v>10.1016/j.cgh.2022.11.026</x:v>
      </x:c>
      <x:c r="K9" s="27" t="str">
        <x:v>36470529</x:v>
      </x:c>
      <x:c r="L9" s="27" t="str"/>
      <x:c r="M9" s="27" t="str">
        <x:v>meta-analysis</x:v>
      </x:c>
      <x:c r="N9" s="27" t="str">
        <x:v>ulcerative_colitis; crohns_disease; ibd_general</x:v>
      </x:c>
      <x:c r="O9" s="27" t="str">
        <x:v>active_disease; remission</x:v>
      </x:c>
      <x:c r="P9" s="27" t="str">
        <x:v>People with IBD or source-defined population; details require full-text review</x:v>
      </x:c>
      <x:c r="Q9" s="27" t="str">
        <x:v>Not reported in extracted metadata</x:v>
      </x:c>
      <x:c r="R9" s="27" t="str">
        <x:v>Not reported in abstract</x:v>
      </x:c>
      <x:c r="S9" s="27" t="str">
        <x:v>Diet, nutrition, or lifestyle exposure/intervention as specified by the source</x:v>
      </x:c>
      <x:c r="T9" s="27" t="str">
        <x:v>As specified by the source; not always reported in the abstract</x:v>
      </x:c>
      <x:c r="U9" s="27" t="str">
        <x:v>remission induction or maintenance (as specified)</x:v>
      </x:c>
      <x:c r="V9" s="27" t="str">
        <x:v>For induction of remission in Crohn's disease (CD), low refined carbohydrate diet and symptoms-guided diet outperformed controls, but studies had serious imprecision and very low certainty of evidence.</x:v>
      </x:c>
      <x:c r="W9" s="27" t="str">
        <x:v>Automated metadata and passage extraction; full methods and tables require human review. Abstract-only record limits appraisal.</x:v>
      </x:c>
      <x:c r="X9" s="27" t="str">
        <x:v>Region was not clearly North American; practical transferability requires local dietetic and healthcare context.</x:v>
      </x:c>
      <x:c r="Y9" s="27" t="str">
        <x:v>Scientifically relevant to Canada/US if disease context and intervention are comparable; food availability, cuisine, fortification, cost, cultural fit, and healthcare delivery may differ.</x:v>
      </x:c>
      <x:c r="Z9" s="27" t="str">
        <x:v>dietary_patterns; red_processed_meat; enteral_nutrition; symptoms_vs_inflammation</x:v>
      </x:c>
      <x:c r="AA9" s="27" t="str">
        <x:v>abstract_only</x:v>
      </x:c>
      <x:c r="AB9" s="27" t="str">
        <x:v>PubMed abstract</x:v>
      </x:c>
      <x:c r="AC9" s="27" t="str">
        <x:v>acquired</x:v>
      </x:c>
      <x:c r="AD9" s="27" t="str">
        <x:v>moderate</x:v>
      </x:c>
      <x:c r="AE9" s="27" t="str">
        <x:v>direct</x:v>
      </x:c>
      <x:c r="AF9" s="27" t="str">
        <x:v>select</x:v>
      </x:c>
      <x:c r="AG9" s="27" t="str">
        <x:v>Selected for authority, evidence level, topical coverage, and direct IBD relevance.</x:v>
      </x:c>
      <x:c r="AH9" s="27" t="str">
        <x:v>Adds coverage for: dietary_patterns, red_processed_meat, enteral_nutrition, symptoms_vs_inflammation.</x:v>
      </x:c>
      <x:c r="AI9" s="27" t="str">
        <x:v>ready_for_review</x:v>
      </x:c>
      <x:c r="AJ9" s="27" t="str">
        <x:v>Metadata and public supporting material were reconciled; no material integrity issue found in this pass.</x:v>
      </x:c>
      <x:c r="AK9" s="27" t="str">
        <x:v>not_identified_as_superseded</x:v>
      </x:c>
      <x:c r="AL9" s="27" t="str">
        <x:v>10.1016/j.cgh.2022.11.026</x:v>
      </x:c>
      <x:c r="AM9" s="27" t="str"/>
      <x:c r="AN9" s="27" t="str">
        <x:v>public_full_text_found</x:v>
      </x:c>
      <x:c r="AO9" s="27" t="str">
        <x:v>https://bspghan.org.uk/wp-content/uploads/2023/09/systemic-review-dietwry-treatment-of-ibd.pdf</x:v>
      </x:c>
      <x:c r="AP9" s="27" t="str">
        <x:v>Yes—public abstract</x:v>
      </x:c>
      <x:c r="AQ9" s="27" t="str">
        <x:v>Review the verified passage and decide; do not approve automatically.</x:v>
      </x:c>
      <x:c r="AR9" s="30" t="str"/>
      <x:c r="AS9" s="30" t="str"/>
    </x:row>
    <x:row r="10" ht="84" customHeight="1">
      <x:c r="A10" s="27" t="str">
        <x:v>SRC-006</x:v>
      </x:c>
      <x:c r="B10" s="27" t="str">
        <x:v>Dietary fat is associated with increased inflammatory bowel disease onset risk: a systematic review and dose-response meta-analysis.</x:v>
      </x:c>
      <x:c r="C10" s="27" t="str">
        <x:v>review</x:v>
      </x:c>
      <x:c r="D10" s="27" t="str">
        <x:v>Song Zhang; Xiangyu Sui; Jiahui Wei; Miao Liu; Huanwei Zhang; Youdong Zhao; Shihang Wang; Xinxin Huang; Qiwen Fang; Shuhuai Xu; Yuyang Zheng; Chenglong Wang; Zhaoshen Li; Shengbing Zhao; Yu Bai</x:v>
      </x:c>
      <x:c r="E10" s="27" t="str"/>
      <x:c r="F10" s="27" t="str">
        <x:v>International journal of surgery (London, England)</x:v>
      </x:c>
      <x:c r="G10" s="27" t="n">
        <x:v>2025</x:v>
      </x:c>
      <x:c r="H10" s="27" t="str">
        <x:v>https://pubmed.ncbi.nlm.nih.gov/40844310/</x:v>
      </x:c>
      <x:c r="I10" s="27" t="str">
        <x:v>https://pubmed.ncbi.nlm.nih.gov/40844310/</x:v>
      </x:c>
      <x:c r="J10" s="27" t="str">
        <x:v>10.1097/JS9.0000000000003019</x:v>
      </x:c>
      <x:c r="K10" s="27" t="str">
        <x:v>40844310</x:v>
      </x:c>
      <x:c r="L10" s="27" t="str">
        <x:v>PMC5250567</x:v>
      </x:c>
      <x:c r="M10" s="27" t="str">
        <x:v>meta-analysis</x:v>
      </x:c>
      <x:c r="N10" s="27" t="str">
        <x:v>ibd_general</x:v>
      </x:c>
      <x:c r="O10" s="27" t="str">
        <x:v>general_or_unspecified</x:v>
      </x:c>
      <x:c r="P10" s="27" t="str">
        <x:v>People with IBD or source-defined population; details require full-text review</x:v>
      </x:c>
      <x:c r="Q10" s="27" t="str">
        <x:v>Not reported in extracted metadata</x:v>
      </x:c>
      <x:c r="R10" s="27" t="str">
        <x:v>Not reported in abstract</x:v>
      </x:c>
      <x:c r="S10" s="27" t="str">
        <x:v>Diet, nutrition, or lifestyle exposure/intervention as specified by the source</x:v>
      </x:c>
      <x:c r="T10" s="27" t="str">
        <x:v>As specified by the source; not always reported in the abstract</x:v>
      </x:c>
      <x:c r="U10" s="27" t="str">
        <x:v>disease activity or topic-specific outcome as reported</x:v>
      </x:c>
      <x:c r="V10" s="27" t="str">
        <x:v>RESULTS: High fat intake (RR = 1.24, 95% CI = 1.03-1.49) was modestly associated with increased IBD onset risk.</x:v>
      </x:c>
      <x:c r="W10" s="27" t="str">
        <x:v>Automated metadata and passage extraction; full methods and tables require human review. Public full text available for deeper review.</x:v>
      </x:c>
      <x:c r="X10" s="27" t="str">
        <x:v>Region was not clearly North American; practical transferability requires local dietetic and healthcare context.</x:v>
      </x:c>
      <x:c r="Y10" s="27" t="str">
        <x:v>Scientifically relevant to Canada/US if disease context and intervention are comparable; food availability, cuisine, fortification, cost, cultural fit, and healthcare delivery may differ.</x:v>
      </x:c>
      <x:c r="Z10" s="27" t="str">
        <x:v>core_condition_knowledge</x:v>
      </x:c>
      <x:c r="AA10" s="27" t="str">
        <x:v>public_full_text</x:v>
      </x:c>
      <x:c r="AB10" s="27" t="str">
        <x:v>PMC BioC XML</x:v>
      </x:c>
      <x:c r="AC10" s="27" t="str">
        <x:v>acquired</x:v>
      </x:c>
      <x:c r="AD10" s="27" t="str">
        <x:v>high</x:v>
      </x:c>
      <x:c r="AE10" s="27" t="str">
        <x:v>direct</x:v>
      </x:c>
      <x:c r="AF10" s="27" t="str">
        <x:v>select</x:v>
      </x:c>
      <x:c r="AG10" s="27" t="str">
        <x:v>Selected for authority, evidence level, topical coverage, and direct IBD relevance.</x:v>
      </x:c>
      <x:c r="AH10" s="27" t="str">
        <x:v>Adds coverage for: core_condition_knowledge.</x:v>
      </x:c>
      <x:c r="AI10" s="27" t="str">
        <x:v>needs_verification</x:v>
      </x:c>
      <x:c r="AJ10" s="27" t="str">
        <x:v>Original public-full-text acquisition is mismatched to the cited PubMed record; original DOI/PMCID '10.1097/JS9.0000000000003019'/'PMC5250567' must not be used. Verified DOI/PMCID: '10.1097/JS9.0000000000003019'/'PMC12626460'.</x:v>
      </x:c>
      <x:c r="AK10" s="27" t="str">
        <x:v>not_identified_as_superseded</x:v>
      </x:c>
      <x:c r="AL10" s="27" t="str">
        <x:v>10.1097/JS9.0000000000003019</x:v>
      </x:c>
      <x:c r="AM10" s="27" t="str">
        <x:v>PMC12626460</x:v>
      </x:c>
      <x:c r="AN10" s="27" t="str">
        <x:v>public_full_text_found</x:v>
      </x:c>
      <x:c r="AO10" s="27" t="str">
        <x:v>https://pmc.ncbi.nlm.nih.gov/articles/PMC12626460/</x:v>
      </x:c>
      <x:c r="AP10" s="27" t="str">
        <x:v>Yes—public abstract</x:v>
      </x:c>
      <x:c r="AQ10" s="27" t="str">
        <x:v>Replace incorrect DOI/PMCID/acquisition metadata and review the correct full text before source approval.</x:v>
      </x:c>
      <x:c r="AR10" s="30" t="str"/>
      <x:c r="AS10" s="30" t="str"/>
    </x:row>
    <x:row r="11" ht="84" customHeight="1">
      <x:c r="A11" s="27" t="str">
        <x:v>SRC-007</x:v>
      </x:c>
      <x:c r="B11" s="27" t="str">
        <x:v>Systematic review and meta-analysis of lactose digestion, its impact on intolerance and nutritional effects of dairy food restriction in inflammatory bowel diseases.</x:v>
      </x:c>
      <x:c r="C11" s="27" t="str">
        <x:v>review</x:v>
      </x:c>
      <x:c r="D11" s="27" t="str">
        <x:v>Andrew Szilagyi; Polymnia Galiatsatos; Xiaoqing Xue</x:v>
      </x:c>
      <x:c r="E11" s="27" t="str"/>
      <x:c r="F11" s="27" t="str">
        <x:v>Nutrition journal</x:v>
      </x:c>
      <x:c r="G11" s="27" t="n">
        <x:v>2016</x:v>
      </x:c>
      <x:c r="H11" s="27" t="str">
        <x:v>https://pubmed.ncbi.nlm.nih.gov/27411934/</x:v>
      </x:c>
      <x:c r="I11" s="27" t="str">
        <x:v>https://pubmed.ncbi.nlm.nih.gov/27411934/</x:v>
      </x:c>
      <x:c r="J11" s="27" t="str">
        <x:v>10.2174/1389450116666150202161500</x:v>
      </x:c>
      <x:c r="K11" s="27" t="str">
        <x:v>27411934</x:v>
      </x:c>
      <x:c r="L11" s="27" t="str">
        <x:v>PMC4366573</x:v>
      </x:c>
      <x:c r="M11" s="27" t="str">
        <x:v>meta-analysis</x:v>
      </x:c>
      <x:c r="N11" s="27" t="str">
        <x:v>crohns_disease; ibd_general</x:v>
      </x:c>
      <x:c r="O11" s="27" t="str">
        <x:v>general_or_unspecified</x:v>
      </x:c>
      <x:c r="P11" s="27" t="str">
        <x:v>People with IBD or source-defined population; details require full-text review</x:v>
      </x:c>
      <x:c r="Q11" s="27" t="str">
        <x:v>Not reported in extracted metadata</x:v>
      </x:c>
      <x:c r="R11" s="27" t="str">
        <x:v>Not reported in abstract</x:v>
      </x:c>
      <x:c r="S11" s="27" t="str">
        <x:v>Diet, nutrition, or lifestyle exposure/intervention as specified by the source</x:v>
      </x:c>
      <x:c r="T11" s="27" t="str">
        <x:v>As specified by the source; not always reported in the abstract</x:v>
      </x:c>
      <x:c r="U11" s="27" t="str">
        <x:v>symptoms</x:v>
      </x:c>
      <x:c r="V11" s="27" t="str">
        <x:v>Of these 17 were included in meta-analysis which showed overall increased lactose maldigestion in both diseases.</x:v>
      </x:c>
      <x:c r="W11" s="27" t="str">
        <x:v>Automated metadata and passage extraction; full methods and tables require human review. Public full text available for deeper review.</x:v>
      </x:c>
      <x:c r="X11" s="27" t="str">
        <x:v>Region was not clearly North American; practical transferability requires local dietetic and healthcare context.</x:v>
      </x:c>
      <x:c r="Y11" s="27" t="str">
        <x:v>Scientifically relevant to Canada/US if disease context and intervention are comparable; food availability, cuisine, fortification, cost, cultural fit, and healthcare delivery may differ.</x:v>
      </x:c>
      <x:c r="Z11" s="27" t="str">
        <x:v>dairy_lactose; symptoms_vs_inflammation</x:v>
      </x:c>
      <x:c r="AA11" s="27" t="str">
        <x:v>public_full_text</x:v>
      </x:c>
      <x:c r="AB11" s="27" t="str">
        <x:v>PMC BioC XML</x:v>
      </x:c>
      <x:c r="AC11" s="27" t="str">
        <x:v>acquired</x:v>
      </x:c>
      <x:c r="AD11" s="27" t="str">
        <x:v>high</x:v>
      </x:c>
      <x:c r="AE11" s="27" t="str">
        <x:v>direct</x:v>
      </x:c>
      <x:c r="AF11" s="27" t="str">
        <x:v>select</x:v>
      </x:c>
      <x:c r="AG11" s="27" t="str">
        <x:v>Selected for authority, evidence level, topical coverage, and direct IBD relevance.</x:v>
      </x:c>
      <x:c r="AH11" s="27" t="str">
        <x:v>Adds coverage for: dairy_lactose, symptoms_vs_inflammation.</x:v>
      </x:c>
      <x:c r="AI11" s="27" t="str">
        <x:v>needs_verification</x:v>
      </x:c>
      <x:c r="AJ11" s="27" t="str">
        <x:v>Original public-full-text acquisition is mismatched to the cited PubMed record; original DOI/PMCID '10.2174/1389450116666150202161500'/'PMC4366573' must not be used. Verified DOI/PMCID: '10.1186/s12937-016-0183-8'/'PMC4942986'.</x:v>
      </x:c>
      <x:c r="AK11" s="27" t="str">
        <x:v>not_identified_as_superseded</x:v>
      </x:c>
      <x:c r="AL11" s="27" t="str">
        <x:v>10.1186/s12937-016-0183-8</x:v>
      </x:c>
      <x:c r="AM11" s="27" t="str">
        <x:v>PMC4942986</x:v>
      </x:c>
      <x:c r="AN11" s="27" t="str">
        <x:v>public_full_text_found</x:v>
      </x:c>
      <x:c r="AO11" s="27" t="str">
        <x:v>https://pmc.ncbi.nlm.nih.gov/articles/PMC4942986/</x:v>
      </x:c>
      <x:c r="AP11" s="27" t="str">
        <x:v>Yes—public abstract</x:v>
      </x:c>
      <x:c r="AQ11" s="27" t="str">
        <x:v>Replace incorrect DOI/PMCID/acquisition metadata and review the correct full text before source approval.</x:v>
      </x:c>
      <x:c r="AR11" s="30" t="str"/>
      <x:c r="AS11" s="30" t="str"/>
    </x:row>
    <x:row r="12" ht="84" customHeight="1">
      <x:c r="A12" s="27" t="str">
        <x:v>SRC-008</x:v>
      </x:c>
      <x:c r="B12" s="27" t="str">
        <x:v>Nutrition, Nutritional Status, Micronutrients Deficiency, and Disease Course of Inflammatory Bowel Disease.</x:v>
      </x:c>
      <x:c r="C12" s="27" t="str">
        <x:v>review</x:v>
      </x:c>
      <x:c r="D12" s="27" t="str">
        <x:v>Marco Valvano; Annalisa Capannolo; Nicola Cesaro; Gianpiero Stefanelli; Stefano Fabiani; Sara Frassino; Sabrina Monaco; Marco Magistroni; Angelo Viscido; Giovanni Latella</x:v>
      </x:c>
      <x:c r="E12" s="27" t="str"/>
      <x:c r="F12" s="27" t="str">
        <x:v>Nutrients</x:v>
      </x:c>
      <x:c r="G12" s="27" t="n">
        <x:v>2023</x:v>
      </x:c>
      <x:c r="H12" s="27" t="str">
        <x:v>https://pubmed.ncbi.nlm.nih.gov/37686856/</x:v>
      </x:c>
      <x:c r="I12" s="27" t="str">
        <x:v>https://pubmed.ncbi.nlm.nih.gov/37686856/</x:v>
      </x:c>
      <x:c r="J12" s="27" t="str">
        <x:v>10.1007/s10350-007-9003-8</x:v>
      </x:c>
      <x:c r="K12" s="27" t="str">
        <x:v>37686856</x:v>
      </x:c>
      <x:c r="L12" s="27" t="str">
        <x:v>PMC6314770</x:v>
      </x:c>
      <x:c r="M12" s="27" t="str">
        <x:v>systematic review</x:v>
      </x:c>
      <x:c r="N12" s="27" t="str">
        <x:v>ibd_general</x:v>
      </x:c>
      <x:c r="O12" s="27" t="str">
        <x:v>active_disease; remission; post_surgery</x:v>
      </x:c>
      <x:c r="P12" s="27" t="str">
        <x:v>Adults with IBD, as specified</x:v>
      </x:c>
      <x:c r="Q12" s="27" t="str">
        <x:v>Not reported in extracted metadata</x:v>
      </x:c>
      <x:c r="R12" s="27" t="str">
        <x:v>Not reported in abstract</x:v>
      </x:c>
      <x:c r="S12" s="27" t="str">
        <x:v>Diet, nutrition, or lifestyle exposure/intervention as specified by the source</x:v>
      </x:c>
      <x:c r="T12" s="27" t="str">
        <x:v>As specified by the source; not always reported in the abstract</x:v>
      </x:c>
      <x:c r="U12" s="27" t="str">
        <x:v>quality of life</x:v>
      </x:c>
      <x:c r="V12" s="27" t="str">
        <x:v>The evidence summarized in this review showed that many nutritional aspects could be potential targets to induce a better control of symptoms, a deeper remission, and overall improve the quality of life of Inflammatory Bowel Disease patients.</x:v>
      </x:c>
      <x:c r="W12" s="27" t="str">
        <x:v>Automated metadata and passage extraction; full methods and tables require human review. Public full text available for deeper review.</x:v>
      </x:c>
      <x:c r="X12" s="27" t="str">
        <x:v>Region was not clearly North American; practical transferability requires local dietetic and healthcare context.</x:v>
      </x:c>
      <x:c r="Y12" s="27" t="str">
        <x:v>Scientifically relevant to Canada/US if disease context and intervention are comparable; food availability, cuisine, fortification, cost, cultural fit, and healthcare delivery may differ.</x:v>
      </x:c>
      <x:c r="Z12" s="27" t="str">
        <x:v>nutrition_status; stress_quality_of_life; symptoms_vs_inflammation; post_surgery</x:v>
      </x:c>
      <x:c r="AA12" s="27" t="str">
        <x:v>public_full_text</x:v>
      </x:c>
      <x:c r="AB12" s="27" t="str">
        <x:v>PMC BioC XML</x:v>
      </x:c>
      <x:c r="AC12" s="27" t="str">
        <x:v>acquired</x:v>
      </x:c>
      <x:c r="AD12" s="27" t="str">
        <x:v>high</x:v>
      </x:c>
      <x:c r="AE12" s="27" t="str">
        <x:v>direct</x:v>
      </x:c>
      <x:c r="AF12" s="27" t="str">
        <x:v>select</x:v>
      </x:c>
      <x:c r="AG12" s="27" t="str">
        <x:v>Selected for authority, evidence level, topical coverage, and direct IBD relevance.</x:v>
      </x:c>
      <x:c r="AH12" s="27" t="str">
        <x:v>Adds coverage for: nutrition_status, stress_quality_of_life, symptoms_vs_inflammation, post_surgery.</x:v>
      </x:c>
      <x:c r="AI12" s="27" t="str">
        <x:v>needs_verification</x:v>
      </x:c>
      <x:c r="AJ12" s="27" t="str">
        <x:v>Original public-full-text acquisition is mismatched to the cited PubMed record; original DOI/PMCID '10.1007/s10350-007-9003-8'/'PMC6314770' must not be used. Verified DOI/PMCID: '10.3390/nu15173824'/'PMC10489664'.</x:v>
      </x:c>
      <x:c r="AK12" s="27" t="str">
        <x:v>not_identified_as_superseded</x:v>
      </x:c>
      <x:c r="AL12" s="27" t="str">
        <x:v>10.3390/nu15173824</x:v>
      </x:c>
      <x:c r="AM12" s="27" t="str">
        <x:v>PMC10489664</x:v>
      </x:c>
      <x:c r="AN12" s="27" t="str">
        <x:v>public_full_text_found</x:v>
      </x:c>
      <x:c r="AO12" s="27" t="str">
        <x:v>https://pmc.ncbi.nlm.nih.gov/articles/PMC10489664/</x:v>
      </x:c>
      <x:c r="AP12" s="27" t="str">
        <x:v>Yes—public abstract</x:v>
      </x:c>
      <x:c r="AQ12" s="27" t="str">
        <x:v>Replace incorrect DOI/PMCID/acquisition metadata and review the correct full text before source approval.</x:v>
      </x:c>
      <x:c r="AR12" s="30" t="str"/>
      <x:c r="AS12" s="30" t="str"/>
    </x:row>
    <x:row r="13" ht="84" customHeight="1">
      <x:c r="A13" s="27" t="str">
        <x:v>SRC-009</x:v>
      </x:c>
      <x:c r="B13" s="27" t="str">
        <x:v>Systematic review and meta-analysis of sleep quality in inactive inflammatory bowel disease.</x:v>
      </x:c>
      <x:c r="C13" s="27" t="str">
        <x:v>review</x:v>
      </x:c>
      <x:c r="D13" s="27" t="str">
        <x:v>Alex Barnes; Réme Mountifield; Justin Baker; Paul Spizzo; Peter Bampton; Sutapa Mukherjee</x:v>
      </x:c>
      <x:c r="E13" s="27" t="str"/>
      <x:c r="F13" s="27" t="str">
        <x:v>JGH open : an open access journal of gastroenterology and hepatology</x:v>
      </x:c>
      <x:c r="G13" s="27" t="n">
        <x:v>2022</x:v>
      </x:c>
      <x:c r="H13" s="27" t="str">
        <x:v>https://pubmed.ncbi.nlm.nih.gov/36406652/</x:v>
      </x:c>
      <x:c r="I13" s="27" t="str">
        <x:v>https://pubmed.ncbi.nlm.nih.gov/36406652/</x:v>
      </x:c>
      <x:c r="J13" s="27" t="str">
        <x:v>10.1002/jgh3.12817</x:v>
      </x:c>
      <x:c r="K13" s="27" t="str">
        <x:v>36406652</x:v>
      </x:c>
      <x:c r="L13" s="27" t="str">
        <x:v>PMC8719151</x:v>
      </x:c>
      <x:c r="M13" s="27" t="str">
        <x:v>meta-analysis</x:v>
      </x:c>
      <x:c r="N13" s="27" t="str">
        <x:v>ibd_general</x:v>
      </x:c>
      <x:c r="O13" s="27" t="str">
        <x:v>general_or_unspecified</x:v>
      </x:c>
      <x:c r="P13" s="27" t="str">
        <x:v>General population cohort; indirect evidence for IBD users</x:v>
      </x:c>
      <x:c r="Q13" s="27" t="str">
        <x:v>Not reported in extracted metadata</x:v>
      </x:c>
      <x:c r="R13" s="27" t="str">
        <x:v>Not reported in abstract</x:v>
      </x:c>
      <x:c r="S13" s="27" t="str">
        <x:v>Diet, nutrition, or lifestyle exposure/intervention as specified by the source</x:v>
      </x:c>
      <x:c r="T13" s="27" t="str">
        <x:v>As specified by the source; not always reported in the abstract</x:v>
      </x:c>
      <x:c r="U13" s="27" t="str">
        <x:v>disease activity or topic-specific outcome as reported</x:v>
      </x:c>
      <x:c r="V13" s="27" t="str">
        <x:v>Poor sleep in people with inflammatory bowel disease (IBD) has been demonstrated to be prevalent and has been associated with disease activity.</x:v>
      </x:c>
      <x:c r="W13" s="27" t="str">
        <x:v>Automated metadata and passage extraction; full methods and tables require human review. Public full text available for deeper review.</x:v>
      </x:c>
      <x:c r="X13" s="27" t="str">
        <x:v>Region was not clearly North American; practical transferability requires local dietetic and healthcare context.</x:v>
      </x:c>
      <x:c r="Y13" s="27" t="str">
        <x:v>Scientifically relevant to Canada/US if disease context and intervention are comparable; food availability, cuisine, fortification, cost, cultural fit, and healthcare delivery may differ.</x:v>
      </x:c>
      <x:c r="Z13" s="27" t="str">
        <x:v>sleep; symptoms_vs_inflammation</x:v>
      </x:c>
      <x:c r="AA13" s="27" t="str">
        <x:v>public_full_text</x:v>
      </x:c>
      <x:c r="AB13" s="27" t="str">
        <x:v>PMC BioC XML</x:v>
      </x:c>
      <x:c r="AC13" s="27" t="str">
        <x:v>acquired</x:v>
      </x:c>
      <x:c r="AD13" s="27" t="str">
        <x:v>high</x:v>
      </x:c>
      <x:c r="AE13" s="27" t="str">
        <x:v>direct</x:v>
      </x:c>
      <x:c r="AF13" s="27" t="str">
        <x:v>select</x:v>
      </x:c>
      <x:c r="AG13" s="27" t="str">
        <x:v>Selected for authority, evidence level, topical coverage, and direct IBD relevance.</x:v>
      </x:c>
      <x:c r="AH13" s="27" t="str">
        <x:v>Adds coverage for: sleep, symptoms_vs_inflammation.</x:v>
      </x:c>
      <x:c r="AI13" s="27" t="str">
        <x:v>needs_verification</x:v>
      </x:c>
      <x:c r="AJ13" s="27" t="str">
        <x:v>Original public-full-text acquisition is mismatched to the cited PubMed record; original DOI/PMCID '10.1002/jgh3.12817'/'PMC8719151' must not be used. Verified DOI/PMCID: '10.1002/jgh3.12817'/'PMC9667405'.</x:v>
      </x:c>
      <x:c r="AK13" s="27" t="str">
        <x:v>not_identified_as_superseded</x:v>
      </x:c>
      <x:c r="AL13" s="27" t="str">
        <x:v>10.1002/jgh3.12817</x:v>
      </x:c>
      <x:c r="AM13" s="27" t="str">
        <x:v>PMC9667405</x:v>
      </x:c>
      <x:c r="AN13" s="27" t="str">
        <x:v>public_full_text_found</x:v>
      </x:c>
      <x:c r="AO13" s="27" t="str">
        <x:v>https://pmc.ncbi.nlm.nih.gov/articles/PMC9667405/</x:v>
      </x:c>
      <x:c r="AP13" s="27" t="str">
        <x:v>Yes—public abstract</x:v>
      </x:c>
      <x:c r="AQ13" s="27" t="str">
        <x:v>Replace incorrect DOI/PMCID/acquisition metadata and review the correct full text before source approval.</x:v>
      </x:c>
      <x:c r="AR13" s="30" t="str"/>
      <x:c r="AS13" s="30" t="str"/>
    </x:row>
    <x:row r="14" ht="84" customHeight="1">
      <x:c r="A14" s="27" t="str">
        <x:v>SRC-010</x:v>
      </x:c>
      <x:c r="B14" s="27" t="str">
        <x:v>Assessment of causal link between psychological factors and symptom exacerbation in inflammatory bowel disease: a systematic review utilising Bradford Hill criteria and meta-analysis of prospective cohort studies.</x:v>
      </x:c>
      <x:c r="C14" s="27" t="str">
        <x:v>review</x:v>
      </x:c>
      <x:c r="D14" s="27" t="str">
        <x:v>Mariyana Schoultz; Michelle Beattie; Trish Gorely; Janni Leung</x:v>
      </x:c>
      <x:c r="E14" s="27" t="str"/>
      <x:c r="F14" s="27" t="str">
        <x:v>Systematic reviews</x:v>
      </x:c>
      <x:c r="G14" s="27" t="n">
        <x:v>2020</x:v>
      </x:c>
      <x:c r="H14" s="27" t="str">
        <x:v>https://pubmed.ncbi.nlm.nih.gov/32738908/</x:v>
      </x:c>
      <x:c r="I14" s="27" t="str">
        <x:v>https://pubmed.ncbi.nlm.nih.gov/32738908/</x:v>
      </x:c>
      <x:c r="J14" s="27" t="str">
        <x:v>10.1186/s13643-020-01426-2</x:v>
      </x:c>
      <x:c r="K14" s="27" t="str">
        <x:v>32738908</x:v>
      </x:c>
      <x:c r="L14" s="27" t="str">
        <x:v>PMC1513293</x:v>
      </x:c>
      <x:c r="M14" s="27" t="str">
        <x:v>meta-analysis</x:v>
      </x:c>
      <x:c r="N14" s="27" t="str">
        <x:v>ibd_general</x:v>
      </x:c>
      <x:c r="O14" s="27" t="str">
        <x:v>general_or_unspecified</x:v>
      </x:c>
      <x:c r="P14" s="27" t="str">
        <x:v>People with IBD or source-defined population; details require full-text review</x:v>
      </x:c>
      <x:c r="Q14" s="27" t="str">
        <x:v>Not reported in extracted metadata</x:v>
      </x:c>
      <x:c r="R14" s="27" t="str">
        <x:v>Not reported in abstract</x:v>
      </x:c>
      <x:c r="S14" s="27" t="str">
        <x:v>Diet, nutrition, or lifestyle exposure/intervention as specified by the source</x:v>
      </x:c>
      <x:c r="T14" s="27" t="str">
        <x:v>As specified by the source; not always reported in the abstract</x:v>
      </x:c>
      <x:c r="U14" s="27" t="str">
        <x:v>quality of life</x:v>
      </x:c>
      <x:c r="V14" s="27" t="str">
        <x:v>Meta-analysis showed depression, anxiety and perceived stress did not have a statistically significant association with an increased risk of symptom exacerbation.</x:v>
      </x:c>
      <x:c r="W14" s="27" t="str">
        <x:v>Automated metadata and passage extraction; full methods and tables require human review. Public full text available for deeper review.</x:v>
      </x:c>
      <x:c r="X14" s="27" t="str">
        <x:v>Region was not clearly North American; practical transferability requires local dietetic and healthcare context.</x:v>
      </x:c>
      <x:c r="Y14" s="27" t="str">
        <x:v>Scientifically relevant to Canada/US if disease context and intervention are comparable; food availability, cuisine, fortification, cost, cultural fit, and healthcare delivery may differ.</x:v>
      </x:c>
      <x:c r="Z14" s="27" t="str">
        <x:v>stress_quality_of_life; symptoms_vs_inflammation</x:v>
      </x:c>
      <x:c r="AA14" s="27" t="str">
        <x:v>public_full_text</x:v>
      </x:c>
      <x:c r="AB14" s="27" t="str">
        <x:v>PMC BioC XML</x:v>
      </x:c>
      <x:c r="AC14" s="27" t="str">
        <x:v>acquired</x:v>
      </x:c>
      <x:c r="AD14" s="27" t="str">
        <x:v>high</x:v>
      </x:c>
      <x:c r="AE14" s="27" t="str">
        <x:v>direct</x:v>
      </x:c>
      <x:c r="AF14" s="27" t="str">
        <x:v>select</x:v>
      </x:c>
      <x:c r="AG14" s="27" t="str">
        <x:v>Selected for authority, evidence level, topical coverage, and direct IBD relevance.</x:v>
      </x:c>
      <x:c r="AH14" s="27" t="str">
        <x:v>Adds coverage for: stress_quality_of_life, symptoms_vs_inflammation.</x:v>
      </x:c>
      <x:c r="AI14" s="27" t="str">
        <x:v>needs_verification</x:v>
      </x:c>
      <x:c r="AJ14" s="27" t="str">
        <x:v>Original public-full-text acquisition is mismatched to the cited PubMed record; original DOI/PMCID '10.1186/s13643-020-01426-2'/'PMC1513293' must not be used. Verified DOI/PMCID: '10.1186/s13643-020-01426-2'/'PMC7395978'.</x:v>
      </x:c>
      <x:c r="AK14" s="27" t="str">
        <x:v>not_identified_as_superseded</x:v>
      </x:c>
      <x:c r="AL14" s="27" t="str">
        <x:v>10.1186/s13643-020-01426-2</x:v>
      </x:c>
      <x:c r="AM14" s="27" t="str">
        <x:v>PMC7395978</x:v>
      </x:c>
      <x:c r="AN14" s="27" t="str">
        <x:v>public_full_text_found</x:v>
      </x:c>
      <x:c r="AO14" s="27" t="str">
        <x:v>https://pmc.ncbi.nlm.nih.gov/articles/PMC7395978/</x:v>
      </x:c>
      <x:c r="AP14" s="27" t="str">
        <x:v>Yes—public abstract</x:v>
      </x:c>
      <x:c r="AQ14" s="27" t="str">
        <x:v>Replace incorrect DOI/PMCID/acquisition metadata and review the correct full text before source approval.</x:v>
      </x:c>
      <x:c r="AR14" s="30" t="str"/>
      <x:c r="AS14" s="30" t="str"/>
    </x:row>
    <x:row r="15" ht="84" customHeight="1">
      <x:c r="A15" s="27" t="str">
        <x:v>SRC-011</x:v>
      </x:c>
      <x:c r="B15" s="27" t="str">
        <x:v>Association of Dietary Fiber, Fruit, and Vegetable Consumption with Risk of Inflammatory Bowel Disease: A Systematic Review and Meta-Analysis.</x:v>
      </x:c>
      <x:c r="C15" s="27" t="str">
        <x:v>review</x:v>
      </x:c>
      <x:c r="D15" s="27" t="str">
        <x:v>Alireza Milajerdi; Nasser Ebrahimi-Daryani; Levinus A Dieleman; Bagher Larijani; Ahmad Esmaillzadeh</x:v>
      </x:c>
      <x:c r="E15" s="27" t="str"/>
      <x:c r="F15" s="27" t="str">
        <x:v>Advances in nutrition (Bethesda, Md.)</x:v>
      </x:c>
      <x:c r="G15" s="27" t="n">
        <x:v>2021</x:v>
      </x:c>
      <x:c r="H15" s="27" t="str">
        <x:v>https://pubmed.ncbi.nlm.nih.gov/33186988/</x:v>
      </x:c>
      <x:c r="I15" s="27" t="str">
        <x:v>https://pubmed.ncbi.nlm.nih.gov/33186988/</x:v>
      </x:c>
      <x:c r="J15" s="27" t="str">
        <x:v>10.1093/advances/nmaa145</x:v>
      </x:c>
      <x:c r="K15" s="27" t="str">
        <x:v>33186988</x:v>
      </x:c>
      <x:c r="L15" s="27" t="str">
        <x:v>PMC3649719</x:v>
      </x:c>
      <x:c r="M15" s="27" t="str">
        <x:v>meta-analysis</x:v>
      </x:c>
      <x:c r="N15" s="27" t="str">
        <x:v>ulcerative_colitis; crohns_disease; ibd_general</x:v>
      </x:c>
      <x:c r="O15" s="27" t="str">
        <x:v>general_or_unspecified</x:v>
      </x:c>
      <x:c r="P15" s="27" t="str">
        <x:v>People with IBD or source-defined population; details require full-text review</x:v>
      </x:c>
      <x:c r="Q15" s="27" t="str">
        <x:v>Not reported in extracted metadata</x:v>
      </x:c>
      <x:c r="R15" s="27" t="str">
        <x:v>Not reported in abstract</x:v>
      </x:c>
      <x:c r="S15" s="27" t="str">
        <x:v>Diet, nutrition, or lifestyle exposure/intervention as specified by the source</x:v>
      </x:c>
      <x:c r="T15" s="27" t="str">
        <x:v>As specified by the source; not always reported in the abstract</x:v>
      </x:c>
      <x:c r="U15" s="27" t="str">
        <x:v>disease activity or topic-specific outcome as reported</x:v>
      </x:c>
      <x:c r="V15" s="27" t="str">
        <x:v>In conclusion, dietary intake of fruit and vegetables was inversely associated with risk of IBD and its subtypes.</x:v>
      </x:c>
      <x:c r="W15" s="27" t="str">
        <x:v>Automated metadata and passage extraction; full methods and tables require human review. Public full text available for deeper review.</x:v>
      </x:c>
      <x:c r="X15" s="27" t="str">
        <x:v>Region was not clearly North American; practical transferability requires local dietetic and healthcare context.</x:v>
      </x:c>
      <x:c r="Y15" s="27" t="str">
        <x:v>Scientifically relevant to Canada/US if disease context and intervention are comparable; food availability, cuisine, fortification, cost, cultural fit, and healthcare delivery may differ.</x:v>
      </x:c>
      <x:c r="Z15" s="27" t="str">
        <x:v>fibre; fruit_vegetables</x:v>
      </x:c>
      <x:c r="AA15" s="27" t="str">
        <x:v>public_full_text</x:v>
      </x:c>
      <x:c r="AB15" s="27" t="str">
        <x:v>PMC BioC XML</x:v>
      </x:c>
      <x:c r="AC15" s="27" t="str">
        <x:v>acquired</x:v>
      </x:c>
      <x:c r="AD15" s="27" t="str">
        <x:v>high</x:v>
      </x:c>
      <x:c r="AE15" s="27" t="str">
        <x:v>direct</x:v>
      </x:c>
      <x:c r="AF15" s="27" t="str">
        <x:v>select</x:v>
      </x:c>
      <x:c r="AG15" s="27" t="str">
        <x:v>Selected for authority, evidence level, topical coverage, and direct IBD relevance.</x:v>
      </x:c>
      <x:c r="AH15" s="27" t="str">
        <x:v>Adds coverage for: fibre, fruit_vegetables.</x:v>
      </x:c>
      <x:c r="AI15" s="27" t="str">
        <x:v>needs_verification</x:v>
      </x:c>
      <x:c r="AJ15" s="27" t="str">
        <x:v>Original public-full-text acquisition is mismatched to the cited PubMed record; original DOI/PMCID '10.1093/advances/nmaa145'/'PMC3649719' must not be used. Verified DOI/PMCID: '10.1093/advances/nmaa145'/'PMC8166559'.</x:v>
      </x:c>
      <x:c r="AK15" s="27" t="str">
        <x:v>not_identified_as_superseded</x:v>
      </x:c>
      <x:c r="AL15" s="27" t="str">
        <x:v>10.1093/advances/nmaa145</x:v>
      </x:c>
      <x:c r="AM15" s="27" t="str">
        <x:v>PMC8166559</x:v>
      </x:c>
      <x:c r="AN15" s="27" t="str">
        <x:v>public_author_manuscript_found</x:v>
      </x:c>
      <x:c r="AO15" s="27" t="str">
        <x:v>https://pmc.ncbi.nlm.nih.gov/articles/PMC8166559/</x:v>
      </x:c>
      <x:c r="AP15" s="27" t="str">
        <x:v>Yes—public abstract</x:v>
      </x:c>
      <x:c r="AQ15" s="27" t="str">
        <x:v>Replace incorrect DOI/PMCID/acquisition metadata and review the correct full text before source approval.</x:v>
      </x:c>
      <x:c r="AR15" s="30" t="str"/>
      <x:c r="AS15" s="30" t="str"/>
    </x:row>
    <x:row r="16" ht="84" customHeight="1">
      <x:c r="A16" s="27" t="str">
        <x:v>SRC-012</x:v>
      </x:c>
      <x:c r="B16" s="27" t="str">
        <x:v>Efficacy and safety of probiotics in the induction and maintenance of inflammatory bowel disease remission: a systematic review and meta-analysis.</x:v>
      </x:c>
      <x:c r="C16" s="27" t="str">
        <x:v>review</x:v>
      </x:c>
      <x:c r="D16" s="27" t="str">
        <x:v>Mingshi Chen; Yan Feng; Wanli Liu</x:v>
      </x:c>
      <x:c r="E16" s="27" t="str"/>
      <x:c r="F16" s="27" t="str">
        <x:v>Annals of palliative medicine</x:v>
      </x:c>
      <x:c r="G16" s="27" t="n">
        <x:v>2021</x:v>
      </x:c>
      <x:c r="H16" s="27" t="str">
        <x:v>https://pubmed.ncbi.nlm.nih.gov/34872306/</x:v>
      </x:c>
      <x:c r="I16" s="27" t="str">
        <x:v>https://pubmed.ncbi.nlm.nih.gov/34872306/</x:v>
      </x:c>
      <x:c r="J16" s="27" t="str">
        <x:v>10.21037/apm-21-2996</x:v>
      </x:c>
      <x:c r="K16" s="27" t="str">
        <x:v>34872306</x:v>
      </x:c>
      <x:c r="L16" s="27" t="str"/>
      <x:c r="M16" s="27" t="str">
        <x:v>meta-analysis</x:v>
      </x:c>
      <x:c r="N16" s="27" t="str">
        <x:v>ulcerative_colitis; crohns_disease; ibd_general</x:v>
      </x:c>
      <x:c r="O16" s="27" t="str">
        <x:v>active_disease; remission</x:v>
      </x:c>
      <x:c r="P16" s="27" t="str">
        <x:v>People with IBD or source-defined population; details require full-text review</x:v>
      </x:c>
      <x:c r="Q16" s="27" t="str">
        <x:v>777</x:v>
      </x:c>
      <x:c r="R16" s="27" t="str">
        <x:v>Not reported in abstract</x:v>
      </x:c>
      <x:c r="S16" s="27" t="str">
        <x:v>Diet, nutrition, or lifestyle exposure/intervention as specified by the source</x:v>
      </x:c>
      <x:c r="T16" s="27" t="str">
        <x:v>As specified by the source; not always reported in the abstract</x:v>
      </x:c>
      <x:c r="U16" s="27" t="str">
        <x:v>remission induction or maintenance (as specified)</x:v>
      </x:c>
      <x:c r="V16" s="27" t="str">
        <x:v>RESULTS: A total of ten RCTs were included, which included 777 patients with ulcerative colitis (UC) and Crohn's disease (CD).</x:v>
      </x:c>
      <x:c r="W16" s="27" t="str">
        <x:v>Automated metadata and passage extraction; full methods and tables require human review. Abstract-only record limits appraisal.</x:v>
      </x:c>
      <x:c r="X16" s="27" t="str">
        <x:v>Region was not clearly North American; practical transferability requires local dietetic and healthcare context.</x:v>
      </x:c>
      <x:c r="Y16" s="27" t="str">
        <x:v>Scientifically relevant to Canada/US if disease context and intervention are comparable; food availability, cuisine, fortification, cost, cultural fit, and healthcare delivery may differ.</x:v>
      </x:c>
      <x:c r="Z16" s="27" t="str">
        <x:v>probiotics_prebiotics</x:v>
      </x:c>
      <x:c r="AA16" s="27" t="str">
        <x:v>abstract_only</x:v>
      </x:c>
      <x:c r="AB16" s="27" t="str">
        <x:v>PubMed abstract</x:v>
      </x:c>
      <x:c r="AC16" s="27" t="str">
        <x:v>acquired</x:v>
      </x:c>
      <x:c r="AD16" s="27" t="str">
        <x:v>moderate</x:v>
      </x:c>
      <x:c r="AE16" s="27" t="str">
        <x:v>direct</x:v>
      </x:c>
      <x:c r="AF16" s="27" t="str">
        <x:v>select</x:v>
      </x:c>
      <x:c r="AG16" s="27" t="str">
        <x:v>Selected for authority, evidence level, topical coverage, and direct IBD relevance.</x:v>
      </x:c>
      <x:c r="AH16" s="27" t="str">
        <x:v>Adds coverage for: probiotics_prebiotics.</x:v>
      </x:c>
      <x:c r="AI16" s="27" t="str">
        <x:v>ready_for_review</x:v>
      </x:c>
      <x:c r="AJ16" s="27" t="str">
        <x:v>Metadata and public supporting material were reconciled; no material integrity issue found in this pass.</x:v>
      </x:c>
      <x:c r="AK16" s="27" t="str">
        <x:v>not_identified_as_superseded</x:v>
      </x:c>
      <x:c r="AL16" s="27" t="str">
        <x:v>10.21037/apm-21-2996</x:v>
      </x:c>
      <x:c r="AM16" s="27" t="str"/>
      <x:c r="AN16" s="27" t="str">
        <x:v>public_full_text_found</x:v>
      </x:c>
      <x:c r="AO16" s="27" t="str">
        <x:v>https://cdn.amegroups.cn/journals/amepc/files/journals/8/articles/83657/public/83657-PB3-2220-R2.pdf</x:v>
      </x:c>
      <x:c r="AP16" s="27" t="str">
        <x:v>Yes—public abstract</x:v>
      </x:c>
      <x:c r="AQ16" s="27" t="str">
        <x:v>Review the verified passage and decide; do not approve automatically.</x:v>
      </x:c>
      <x:c r="AR16" s="30" t="str"/>
      <x:c r="AS16" s="30" t="str"/>
    </x:row>
    <x:row r="17" ht="84" customHeight="1">
      <x:c r="A17" s="27" t="str">
        <x:v>SRC-013</x:v>
      </x:c>
      <x:c r="B17" s="27" t="str">
        <x:v>Ultra-processed foods and food additives in gut health and disease.</x:v>
      </x:c>
      <x:c r="C17" s="27" t="str">
        <x:v>review</x:v>
      </x:c>
      <x:c r="D17" s="27" t="str">
        <x:v>Kevin Whelan; Aaron S Bancil; James O Lindsay; Benoit Chassaing</x:v>
      </x:c>
      <x:c r="E17" s="27" t="str"/>
      <x:c r="F17" s="27" t="str">
        <x:v>Nature reviews. Gastroenterology &amp; hepatology</x:v>
      </x:c>
      <x:c r="G17" s="27" t="n">
        <x:v>2024</x:v>
      </x:c>
      <x:c r="H17" s="27" t="str">
        <x:v>https://pubmed.ncbi.nlm.nih.gov/38388570/</x:v>
      </x:c>
      <x:c r="I17" s="27" t="str">
        <x:v>https://pubmed.ncbi.nlm.nih.gov/38388570/</x:v>
      </x:c>
      <x:c r="J17" s="27" t="str">
        <x:v>10.1128/microbiolspec.BAD-0010-2016</x:v>
      </x:c>
      <x:c r="K17" s="27" t="str">
        <x:v>38388570</x:v>
      </x:c>
      <x:c r="L17" s="27" t="str">
        <x:v>5941818</x:v>
      </x:c>
      <x:c r="M17" s="27" t="str">
        <x:v>review</x:v>
      </x:c>
      <x:c r="N17" s="27" t="str">
        <x:v>ibd_general</x:v>
      </x:c>
      <x:c r="O17" s="27" t="str">
        <x:v>general_or_unspecified</x:v>
      </x:c>
      <x:c r="P17" s="27" t="str">
        <x:v>People with IBD or source-defined population; details require full-text review</x:v>
      </x:c>
      <x:c r="Q17" s="27" t="str">
        <x:v>Not reported in extracted metadata</x:v>
      </x:c>
      <x:c r="R17" s="27" t="str">
        <x:v>Not reported in abstract</x:v>
      </x:c>
      <x:c r="S17" s="27" t="str">
        <x:v>Diet, nutrition, or lifestyle exposure/intervention as specified by the source</x:v>
      </x:c>
      <x:c r="T17" s="27" t="str">
        <x:v>As specified by the source; not always reported in the abstract</x:v>
      </x:c>
      <x:c r="U17" s="27" t="str">
        <x:v>disease activity or topic-specific outcome as reported</x:v>
      </x:c>
      <x:c r="V17" s="27" t="str">
        <x:v>For example, evidence shows that some emulsifiers, sweeteners, colours, and microparticles and nanoparticles have effects on a range of outcomes, including the gut microbiome, intestinal permeability and intestinal inflammation.</x:v>
      </x:c>
      <x:c r="W17" s="27" t="str">
        <x:v>Automated metadata and passage extraction; full methods and tables require human review. Public full text available for deeper review.</x:v>
      </x:c>
      <x:c r="X17" s="27" t="str">
        <x:v>Region was not clearly North American; practical transferability requires local dietetic and healthcare context.</x:v>
      </x:c>
      <x:c r="Y17" s="27" t="str">
        <x:v>Scientifically relevant to Canada/US if disease context and intervention are comparable; food availability, cuisine, fortification, cost, cultural fit, and healthcare delivery may differ.</x:v>
      </x:c>
      <x:c r="Z17" s="27" t="str">
        <x:v>ultra_processed; food_additives; symptoms_vs_inflammation</x:v>
      </x:c>
      <x:c r="AA17" s="27" t="str">
        <x:v>public_full_text</x:v>
      </x:c>
      <x:c r="AB17" s="27" t="str">
        <x:v>PMC BioC XML</x:v>
      </x:c>
      <x:c r="AC17" s="27" t="str">
        <x:v>acquired</x:v>
      </x:c>
      <x:c r="AD17" s="27" t="str">
        <x:v>high</x:v>
      </x:c>
      <x:c r="AE17" s="27" t="str">
        <x:v>direct</x:v>
      </x:c>
      <x:c r="AF17" s="27" t="str">
        <x:v>select</x:v>
      </x:c>
      <x:c r="AG17" s="27" t="str">
        <x:v>Selected for authority, evidence level, topical coverage, and direct IBD relevance.</x:v>
      </x:c>
      <x:c r="AH17" s="27" t="str">
        <x:v>Adds coverage for: ultra_processed, food_additives, symptoms_vs_inflammation.</x:v>
      </x:c>
      <x:c r="AI17" s="27" t="str">
        <x:v>needs_verification</x:v>
      </x:c>
      <x:c r="AJ17" s="27" t="str">
        <x:v>Original public-full-text acquisition is mismatched to the cited PubMed record; original DOI/PMCID '10.1128/microbiolspec.BAD-0010-2016'/'5941818' must not be used. Verified DOI/PMCID: '10.1038/s41575-024-00893-5'/'blank'. The intended review's public abstract is available, but no legitimate public full text was located.</x:v>
      </x:c>
      <x:c r="AK17" s="27" t="str">
        <x:v>not_identified_as_superseded</x:v>
      </x:c>
      <x:c r="AL17" s="27" t="str">
        <x:v>10.1038/s41575-024-00893-5</x:v>
      </x:c>
      <x:c r="AM17" s="27" t="str"/>
      <x:c r="AN17" s="27" t="str">
        <x:v>abstract_only_after_mismatched_acquisition</x:v>
      </x:c>
      <x:c r="AO17" s="27" t="str">
        <x:v>https://pubmed.ncbi.nlm.nih.gov/38388570/</x:v>
      </x:c>
      <x:c r="AP17" s="27" t="str">
        <x:v>Yes—public abstract</x:v>
      </x:c>
      <x:c r="AQ17" s="27" t="str">
        <x:v>Replace incorrect DOI/PMCID/acquisition metadata and review the correct full text before source approval.</x:v>
      </x:c>
      <x:c r="AR17" s="30" t="str"/>
      <x:c r="AS17" s="30" t="str"/>
    </x:row>
    <x:row r="18" ht="84" customHeight="1">
      <x:c r="A18" s="27" t="str">
        <x:v>SRC-014</x:v>
      </x:c>
      <x:c r="B18" s="27" t="str">
        <x:v>Physical Activity is Associated with a Decreased Risk of Developing Inflammatory Bowel Disease: A Systematic Review and Meta-analysis.</x:v>
      </x:c>
      <x:c r="C18" s="27" t="str">
        <x:v>review</x:v>
      </x:c>
      <x:c r="D18" s="27" t="str">
        <x:v>Ho Tuan Tiong; Dali Fan; Chris Frampton; Ashwin N Ananthakrishnan; Richard B Gearry</x:v>
      </x:c>
      <x:c r="E18" s="27" t="str"/>
      <x:c r="F18" s="27" t="str">
        <x:v>Journal of Crohn's &amp; colitis</x:v>
      </x:c>
      <x:c r="G18" s="27" t="n">
        <x:v>2024</x:v>
      </x:c>
      <x:c r="H18" s="27" t="str">
        <x:v>https://pubmed.ncbi.nlm.nih.gov/38597690/</x:v>
      </x:c>
      <x:c r="I18" s="27" t="str">
        <x:v>https://pubmed.ncbi.nlm.nih.gov/38597690/</x:v>
      </x:c>
      <x:c r="J18" s="27" t="str">
        <x:v>10.1093/ecco-jcc/jjae053</x:v>
      </x:c>
      <x:c r="K18" s="27" t="str">
        <x:v>38597690</x:v>
      </x:c>
      <x:c r="L18" s="27" t="str"/>
      <x:c r="M18" s="27" t="str">
        <x:v>meta-analysis</x:v>
      </x:c>
      <x:c r="N18" s="27" t="str">
        <x:v>ulcerative_colitis; crohns_disease; ibd_general</x:v>
      </x:c>
      <x:c r="O18" s="27" t="str">
        <x:v>general_or_unspecified</x:v>
      </x:c>
      <x:c r="P18" s="27" t="str">
        <x:v>People with IBD or source-defined population; details require full-text review</x:v>
      </x:c>
      <x:c r="Q18" s="27" t="str">
        <x:v>992</x:v>
      </x:c>
      <x:c r="R18" s="27" t="str">
        <x:v>Not reported in abstract</x:v>
      </x:c>
      <x:c r="S18" s="27" t="str">
        <x:v>Diet, nutrition, or lifestyle exposure/intervention as specified by the source</x:v>
      </x:c>
      <x:c r="T18" s="27" t="str">
        <x:v>As specified by the source; not always reported in the abstract</x:v>
      </x:c>
      <x:c r="U18" s="27" t="str">
        <x:v>disease activity or topic-specific outcome as reported</x:v>
      </x:c>
      <x:c r="V18" s="27" t="str">
        <x:v>CONCLUSION: This meta-analysis suggests that physical activity is inversely associated with the risk of developing IBD, more so in CD than in UC.</x:v>
      </x:c>
      <x:c r="W18" s="27" t="str">
        <x:v>Automated metadata and passage extraction; full methods and tables require human review. Abstract-only record limits appraisal.</x:v>
      </x:c>
      <x:c r="X18" s="27" t="str">
        <x:v>Region was not clearly North American; practical transferability requires local dietetic and healthcare context.</x:v>
      </x:c>
      <x:c r="Y18" s="27" t="str">
        <x:v>Scientifically relevant to Canada/US if disease context and intervention are comparable; food availability, cuisine, fortification, cost, cultural fit, and healthcare delivery may differ.</x:v>
      </x:c>
      <x:c r="Z18" s="27" t="str">
        <x:v>physical_activity</x:v>
      </x:c>
      <x:c r="AA18" s="27" t="str">
        <x:v>abstract_only</x:v>
      </x:c>
      <x:c r="AB18" s="27" t="str">
        <x:v>PubMed abstract</x:v>
      </x:c>
      <x:c r="AC18" s="27" t="str">
        <x:v>acquired</x:v>
      </x:c>
      <x:c r="AD18" s="27" t="str">
        <x:v>moderate</x:v>
      </x:c>
      <x:c r="AE18" s="27" t="str">
        <x:v>direct</x:v>
      </x:c>
      <x:c r="AF18" s="27" t="str">
        <x:v>select</x:v>
      </x:c>
      <x:c r="AG18" s="27" t="str">
        <x:v>Selected for authority, evidence level, topical coverage, and direct IBD relevance.</x:v>
      </x:c>
      <x:c r="AH18" s="27" t="str">
        <x:v>Adds coverage for: physical_activity.</x:v>
      </x:c>
      <x:c r="AI18" s="27" t="str">
        <x:v>ready_for_review</x:v>
      </x:c>
      <x:c r="AJ18" s="27" t="str">
        <x:v>Metadata and public supporting material were reconciled; no material integrity issue found in this pass.</x:v>
      </x:c>
      <x:c r="AK18" s="27" t="str">
        <x:v>not_identified_as_superseded</x:v>
      </x:c>
      <x:c r="AL18" s="27" t="str">
        <x:v>10.1093/ecco-jcc/jjae053</x:v>
      </x:c>
      <x:c r="AM18" s="27" t="str"/>
      <x:c r="AN18" s="27" t="str">
        <x:v>public_full_text_found</x:v>
      </x:c>
      <x:c r="AO18" s="27" t="str">
        <x:v>https://academic.oup.com/ecco-jcc/article/18/9/1476/7643393</x:v>
      </x:c>
      <x:c r="AP18" s="27" t="str">
        <x:v>Yes—public abstract</x:v>
      </x:c>
      <x:c r="AQ18" s="27" t="str">
        <x:v>Review the verified passage and decide; do not approve automatically.</x:v>
      </x:c>
      <x:c r="AR18" s="30" t="str"/>
      <x:c r="AS18" s="30" t="str"/>
    </x:row>
    <x:row r="19" ht="84" customHeight="1">
      <x:c r="A19" s="27" t="str">
        <x:v>SRC-015</x:v>
      </x:c>
      <x:c r="B19" s="27" t="str">
        <x:v>Environmental Risk Factors for Inflammatory Bowel Diseases: An Umbrella Review of Meta-analyses.</x:v>
      </x:c>
      <x:c r="C19" s="27" t="str">
        <x:v>review</x:v>
      </x:c>
      <x:c r="D19" s="27" t="str">
        <x:v>Daniele Piovani; Silvio Danese; Laurent Peyrin-Biroulet; Georgios K Nikolopoulos; Theodore Lytras; Stefanos Bonovas</x:v>
      </x:c>
      <x:c r="E19" s="27" t="str"/>
      <x:c r="F19" s="27" t="str">
        <x:v>Gastroenterology</x:v>
      </x:c>
      <x:c r="G19" s="27" t="n">
        <x:v>2019</x:v>
      </x:c>
      <x:c r="H19" s="27" t="str">
        <x:v>https://pubmed.ncbi.nlm.nih.gov/31014995/</x:v>
      </x:c>
      <x:c r="I19" s="27" t="str">
        <x:v>https://pubmed.ncbi.nlm.nih.gov/31014995/</x:v>
      </x:c>
      <x:c r="J19" s="27" t="str">
        <x:v>10.1053/j.gastro.2019.04.016</x:v>
      </x:c>
      <x:c r="K19" s="27" t="str">
        <x:v>31014995</x:v>
      </x:c>
      <x:c r="L19" s="27" t="str"/>
      <x:c r="M19" s="27" t="str">
        <x:v>meta-analysis</x:v>
      </x:c>
      <x:c r="N19" s="27" t="str">
        <x:v>ulcerative_colitis; crohns_disease; ibd_general</x:v>
      </x:c>
      <x:c r="O19" s="27" t="str">
        <x:v>general_or_unspecified</x:v>
      </x:c>
      <x:c r="P19" s="27" t="str">
        <x:v>People with IBD or source-defined population; details require full-text review</x:v>
      </x:c>
      <x:c r="Q19" s="27" t="str">
        <x:v>Not reported in extracted metadata</x:v>
      </x:c>
      <x:c r="R19" s="27" t="str">
        <x:v>Not reported in abstract</x:v>
      </x:c>
      <x:c r="S19" s="27" t="str">
        <x:v>Diet, nutrition, or lifestyle exposure/intervention as specified by the source</x:v>
      </x:c>
      <x:c r="T19" s="27" t="str">
        <x:v>As specified by the source; not always reported in the abstract</x:v>
      </x:c>
      <x:c r="U19" s="27" t="str">
        <x:v>disease activity or topic-specific outcome as reported</x:v>
      </x:c>
      <x:c r="V19" s="27" t="str">
        <x:v>BACKGROUND &amp; AIMS: Multiple environmental factors have been associated with the development of inflammatory bowel diseases (IBDs).</x:v>
      </x:c>
      <x:c r="W19" s="27" t="str">
        <x:v>Automated metadata and passage extraction; full methods and tables require human review. Abstract-only record limits appraisal.</x:v>
      </x:c>
      <x:c r="X19" s="27" t="str">
        <x:v>Region was not clearly North American; practical transferability requires local dietetic and healthcare context.</x:v>
      </x:c>
      <x:c r="Y19" s="27" t="str">
        <x:v>Scientifically relevant to Canada/US if disease context and intervention are comparable; food availability, cuisine, fortification, cost, cultural fit, and healthcare delivery may differ.</x:v>
      </x:c>
      <x:c r="Z19" s="27" t="str">
        <x:v>nutrition_status; physical_activity; smoking</x:v>
      </x:c>
      <x:c r="AA19" s="27" t="str">
        <x:v>abstract_only</x:v>
      </x:c>
      <x:c r="AB19" s="27" t="str">
        <x:v>PubMed abstract</x:v>
      </x:c>
      <x:c r="AC19" s="27" t="str">
        <x:v>acquired</x:v>
      </x:c>
      <x:c r="AD19" s="27" t="str">
        <x:v>moderate</x:v>
      </x:c>
      <x:c r="AE19" s="27" t="str">
        <x:v>direct</x:v>
      </x:c>
      <x:c r="AF19" s="27" t="str">
        <x:v>select</x:v>
      </x:c>
      <x:c r="AG19" s="27" t="str">
        <x:v>Selected for authority, evidence level, topical coverage, and direct IBD relevance.</x:v>
      </x:c>
      <x:c r="AH19" s="27" t="str">
        <x:v>Adds coverage for: nutrition_status, physical_activity, smoking.</x:v>
      </x:c>
      <x:c r="AI19" s="27" t="str">
        <x:v>insufficient_access</x:v>
      </x:c>
      <x:c r="AJ19" s="27" t="str">
        <x:v>No legitimate public full text was located; claims must remain limited to the public abstract.</x:v>
      </x:c>
      <x:c r="AK19" s="27" t="str">
        <x:v>not_identified_as_superseded</x:v>
      </x:c>
      <x:c r="AL19" s="27" t="str">
        <x:v>10.1053/j.gastro.2019.04.016</x:v>
      </x:c>
      <x:c r="AM19" s="27" t="str"/>
      <x:c r="AN19" s="27" t="str">
        <x:v>abstract_only</x:v>
      </x:c>
      <x:c r="AO19" s="27" t="str">
        <x:v>https://pubmed.ncbi.nlm.nih.gov/31014995/</x:v>
      </x:c>
      <x:c r="AP19" s="27" t="str">
        <x:v>Yes—public abstract</x:v>
      </x:c>
      <x:c r="AQ19" s="27" t="str">
        <x:v>Approve only claims fully supported by the abstract and explicitly limited; otherwise reject or request full text.</x:v>
      </x:c>
      <x:c r="AR19" s="30" t="str"/>
      <x:c r="AS19" s="30" t="str"/>
    </x:row>
    <x:row r="20" ht="84" customHeight="1">
      <x:c r="A20" s="27" t="str">
        <x:v>SRC-016</x:v>
      </x:c>
      <x:c r="B20" s="27" t="str">
        <x:v>A Randomized Trial Comparing the Specific Carbohydrate Diet to a Mediterranean Diet in Adults With Crohn's Disease.</x:v>
      </x:c>
      <x:c r="C20" s="27" t="str">
        <x:v>study</x:v>
      </x:c>
      <x:c r="D20" s="27" t="str">
        <x:v>James D Lewis; Robert S Sandler; Carol Brotherton; Colleen Brensinger; Hongzhe Li; Michael D Kappelman; Scott G Daniel; Kyle Bittinger; Lindsey Albenberg; John F Valentine; John S Hanson; David L Suskind; Andrea Meyer; Charlene W Compher; Meenakshi Bewtra; Akriti Saxena; Angela Dobes; Benjamin L Cohen; Ann D Flynn; Monika Fischer; Sumona Saha; Arun Swaminath; Bruce Yacyshyn; Ellen Scherl; Sara Horst; Jeffrey R Curtis; Kimberly Braly; Lisa Nessel; Maureen McCauley; Liam McKeever; Hans Herfarth; DINE-CD Study Group</x:v>
      </x:c>
      <x:c r="E20" s="27" t="str"/>
      <x:c r="F20" s="27" t="str">
        <x:v>Gastroenterology</x:v>
      </x:c>
      <x:c r="G20" s="27" t="n">
        <x:v>2021</x:v>
      </x:c>
      <x:c r="H20" s="27" t="str">
        <x:v>https://pubmed.ncbi.nlm.nih.gov/34052278/</x:v>
      </x:c>
      <x:c r="I20" s="27" t="str">
        <x:v>https://pubmed.ncbi.nlm.nih.gov/34052278/</x:v>
      </x:c>
      <x:c r="J20" s="27" t="str">
        <x:v>10.1053/j.gastro.2021.05.047</x:v>
      </x:c>
      <x:c r="K20" s="27" t="str">
        <x:v>34052278</x:v>
      </x:c>
      <x:c r="L20" s="27" t="str">
        <x:v>PMC6718954</x:v>
      </x:c>
      <x:c r="M20" s="27" t="str">
        <x:v>randomized controlled trial</x:v>
      </x:c>
      <x:c r="N20" s="27" t="str">
        <x:v>crohns_disease</x:v>
      </x:c>
      <x:c r="O20" s="27" t="str">
        <x:v>remission</x:v>
      </x:c>
      <x:c r="P20" s="27" t="str">
        <x:v>Adults with IBD, as specified</x:v>
      </x:c>
      <x:c r="Q20" s="27" t="str">
        <x:v>194</x:v>
      </x:c>
      <x:c r="R20" s="27" t="str">
        <x:v>Not reported in abstract</x:v>
      </x:c>
      <x:c r="S20" s="27" t="str">
        <x:v>Diet, nutrition, or lifestyle exposure/intervention as specified by the source</x:v>
      </x:c>
      <x:c r="T20" s="27" t="str">
        <x:v>As specified by the source; not always reported in the abstract</x:v>
      </x:c>
      <x:c r="U20" s="27" t="str">
        <x:v>remission induction or maintenance (as specified)</x:v>
      </x:c>
      <x:c r="V20" s="27" t="str">
        <x:v>CONCLUSIONS: The SCD was not superior to the MD to achieve symptomatic remission, FC response, and CRP response.</x:v>
      </x:c>
      <x:c r="W20" s="27" t="str">
        <x:v>Automated metadata and passage extraction; full methods and tables require human review. Public full text available for deeper review.</x:v>
      </x:c>
      <x:c r="X20" s="27" t="str">
        <x:v>Region was not clearly North American; practical transferability requires local dietetic and healthcare context.</x:v>
      </x:c>
      <x:c r="Y20" s="27" t="str">
        <x:v>Scientifically relevant to Canada/US if disease context and intervention are comparable; food availability, cuisine, fortification, cost, cultural fit, and healthcare delivery may differ.</x:v>
      </x:c>
      <x:c r="Z20" s="27" t="str">
        <x:v>dietary_patterns; symptoms_vs_inflammation</x:v>
      </x:c>
      <x:c r="AA20" s="27" t="str">
        <x:v>public_full_text</x:v>
      </x:c>
      <x:c r="AB20" s="27" t="str">
        <x:v>PMC BioC XML</x:v>
      </x:c>
      <x:c r="AC20" s="27" t="str">
        <x:v>acquired</x:v>
      </x:c>
      <x:c r="AD20" s="27" t="str">
        <x:v>high</x:v>
      </x:c>
      <x:c r="AE20" s="27" t="str">
        <x:v>direct</x:v>
      </x:c>
      <x:c r="AF20" s="27" t="str">
        <x:v>select</x:v>
      </x:c>
      <x:c r="AG20" s="27" t="str">
        <x:v>Selected for authority, evidence level, topical coverage, and direct IBD relevance.</x:v>
      </x:c>
      <x:c r="AH20" s="27" t="str">
        <x:v>Adds coverage for: dietary_patterns, symptoms_vs_inflammation.</x:v>
      </x:c>
      <x:c r="AI20" s="27" t="str">
        <x:v>needs_verification</x:v>
      </x:c>
      <x:c r="AJ20" s="27" t="str">
        <x:v>Original public-full-text acquisition is mismatched to the cited PubMed record; original DOI/PMCID '10.1053/j.gastro.2021.05.047'/'PMC6718954' must not be used. Verified DOI/PMCID: '10.1053/j.gastro.2021.05.047'/'PMC8396394'.</x:v>
      </x:c>
      <x:c r="AK20" s="27" t="str">
        <x:v>not_identified_as_superseded</x:v>
      </x:c>
      <x:c r="AL20" s="27" t="str">
        <x:v>10.1053/j.gastro.2021.05.047</x:v>
      </x:c>
      <x:c r="AM20" s="27" t="str">
        <x:v>PMC8396394</x:v>
      </x:c>
      <x:c r="AN20" s="27" t="str">
        <x:v>public_author_manuscript_found</x:v>
      </x:c>
      <x:c r="AO20" s="27" t="str">
        <x:v>https://pmc.ncbi.nlm.nih.gov/articles/PMC8396394/</x:v>
      </x:c>
      <x:c r="AP20" s="27" t="str">
        <x:v>Yes—public abstract</x:v>
      </x:c>
      <x:c r="AQ20" s="27" t="str">
        <x:v>Replace incorrect DOI/PMCID/acquisition metadata and review the correct full text before source approval.</x:v>
      </x:c>
      <x:c r="AR20" s="30" t="str"/>
      <x:c r="AS20" s="30" t="str"/>
    </x:row>
    <x:row r="21" ht="84" customHeight="1">
      <x:c r="A21" s="27" t="str">
        <x:v>SRC-017</x:v>
      </x:c>
      <x:c r="B21" s="27" t="str">
        <x:v>Crohn's Disease Exclusion Diet Plus Partial Enteral Nutrition Induces Sustained Remission in a Randomized Controlled Trial.</x:v>
      </x:c>
      <x:c r="C21" s="27" t="str">
        <x:v>study</x:v>
      </x:c>
      <x:c r="D21" s="27" t="str">
        <x:v>Arie Levine; Eytan Wine; Amit Assa; Rotem Sigall Boneh; Ron Shaoul; Michal Kori; Shlomi Cohen; Sarit Peleg; Hussein Shamaly; Avi On; Peri Millman; Lee Abramas; Tomer Ziv-Baran; Shannan Grant; Guila Abitbol; Katherine A Dunn; Joseph P Bielawski; Johan Van Limbergen</x:v>
      </x:c>
      <x:c r="E21" s="27" t="str"/>
      <x:c r="F21" s="27" t="str">
        <x:v>Gastroenterology</x:v>
      </x:c>
      <x:c r="G21" s="27" t="n">
        <x:v>2019</x:v>
      </x:c>
      <x:c r="H21" s="27" t="str">
        <x:v>https://pubmed.ncbi.nlm.nih.gov/31170412/</x:v>
      </x:c>
      <x:c r="I21" s="27" t="str">
        <x:v>https://pubmed.ncbi.nlm.nih.gov/31170412/</x:v>
      </x:c>
      <x:c r="J21" s="27" t="str">
        <x:v>10.1053/j.gastro.2019.04.021</x:v>
      </x:c>
      <x:c r="K21" s="27" t="str">
        <x:v>31170412</x:v>
      </x:c>
      <x:c r="L21" s="27" t="str"/>
      <x:c r="M21" s="27" t="str">
        <x:v>randomized controlled trial</x:v>
      </x:c>
      <x:c r="N21" s="27" t="str">
        <x:v>crohns_disease</x:v>
      </x:c>
      <x:c r="O21" s="27" t="str">
        <x:v>remission</x:v>
      </x:c>
      <x:c r="P21" s="27" t="str">
        <x:v>Children or adolescents with IBD, as specified</x:v>
      </x:c>
      <x:c r="Q21" s="27" t="str">
        <x:v>40</x:v>
      </x:c>
      <x:c r="R21" s="27" t="str">
        <x:v>Not reported in abstract</x:v>
      </x:c>
      <x:c r="S21" s="27" t="str">
        <x:v>Diet, nutrition, or lifestyle exposure/intervention as specified by the source</x:v>
      </x:c>
      <x:c r="T21" s="27" t="str">
        <x:v>As specified by the source; not always reported in the abstract</x:v>
      </x:c>
      <x:c r="U21" s="27" t="str">
        <x:v>remission induction or maintenance (as specified)</x:v>
      </x:c>
      <x:c r="V21" s="27" t="str">
        <x:v>BACKGROUND &amp; AIMS: Exclusive enteral nutrition (EEN) is recommended for children with mild to moderate Crohn's disease (CD), but implementation is challenging.</x:v>
      </x:c>
      <x:c r="W21" s="27" t="str">
        <x:v>Automated metadata and passage extraction; full methods and tables require human review. Abstract-only record limits appraisal.</x:v>
      </x:c>
      <x:c r="X21" s="27" t="str">
        <x:v>Region was not clearly North American; practical transferability requires local dietetic and healthcare context.</x:v>
      </x:c>
      <x:c r="Y21" s="27" t="str">
        <x:v>Scientifically relevant to Canada/US if disease context and intervention are comparable; food availability, cuisine, fortification, cost, cultural fit, and healthcare delivery may differ.</x:v>
      </x:c>
      <x:c r="Z21" s="27" t="str">
        <x:v>enteral_nutrition; symptoms_vs_inflammation</x:v>
      </x:c>
      <x:c r="AA21" s="27" t="str">
        <x:v>abstract_only</x:v>
      </x:c>
      <x:c r="AB21" s="27" t="str">
        <x:v>PubMed abstract</x:v>
      </x:c>
      <x:c r="AC21" s="27" t="str">
        <x:v>acquired</x:v>
      </x:c>
      <x:c r="AD21" s="27" t="str">
        <x:v>moderate</x:v>
      </x:c>
      <x:c r="AE21" s="27" t="str">
        <x:v>direct</x:v>
      </x:c>
      <x:c r="AF21" s="27" t="str">
        <x:v>select</x:v>
      </x:c>
      <x:c r="AG21" s="27" t="str">
        <x:v>Selected for authority, evidence level, topical coverage, and direct IBD relevance.</x:v>
      </x:c>
      <x:c r="AH21" s="27" t="str">
        <x:v>Adds coverage for: enteral_nutrition, symptoms_vs_inflammation.</x:v>
      </x:c>
      <x:c r="AI21" s="27" t="str">
        <x:v>insufficient_access</x:v>
      </x:c>
      <x:c r="AJ21" s="27" t="str">
        <x:v>No legitimate public full text was located; claims must remain limited to the public abstract.</x:v>
      </x:c>
      <x:c r="AK21" s="27" t="str">
        <x:v>not_identified_as_superseded</x:v>
      </x:c>
      <x:c r="AL21" s="27" t="str">
        <x:v>10.1053/j.gastro.2019.04.021</x:v>
      </x:c>
      <x:c r="AM21" s="27" t="str"/>
      <x:c r="AN21" s="27" t="str">
        <x:v>abstract_only</x:v>
      </x:c>
      <x:c r="AO21" s="27" t="str">
        <x:v>https://pubmed.ncbi.nlm.nih.gov/31170412/</x:v>
      </x:c>
      <x:c r="AP21" s="27" t="str">
        <x:v>Yes—public abstract</x:v>
      </x:c>
      <x:c r="AQ21" s="27" t="str">
        <x:v>Approve only claims fully supported by the abstract and explicitly limited; otherwise reject or request full text.</x:v>
      </x:c>
      <x:c r="AR21" s="30" t="str"/>
      <x:c r="AS21" s="30" t="str"/>
    </x:row>
    <x:row r="22" ht="84" customHeight="1">
      <x:c r="A22" s="27" t="str">
        <x:v>SRC-018</x:v>
      </x:c>
      <x:c r="B22" s="27" t="str">
        <x:v>A Diet Low in Red and Processed Meat Does Not Reduce Rate of Crohn's Disease Flares.</x:v>
      </x:c>
      <x:c r="C22" s="27" t="str">
        <x:v>study</x:v>
      </x:c>
      <x:c r="D22" s="27" t="str">
        <x:v>Lindsey Albenberg; Colleen M Brensinger; Qufei Wu; Erin Gilroy; Michael D Kappelman; Robert S Sandler; James D Lewis</x:v>
      </x:c>
      <x:c r="E22" s="27" t="str"/>
      <x:c r="F22" s="27" t="str">
        <x:v>Gastroenterology</x:v>
      </x:c>
      <x:c r="G22" s="27" t="n">
        <x:v>2019</x:v>
      </x:c>
      <x:c r="H22" s="27" t="str">
        <x:v>https://pubmed.ncbi.nlm.nih.gov/30872105/</x:v>
      </x:c>
      <x:c r="I22" s="27" t="str">
        <x:v>https://pubmed.ncbi.nlm.nih.gov/30872105/</x:v>
      </x:c>
      <x:c r="J22" s="27" t="str">
        <x:v>10.1097/MPG.0b013e3181c92c53</x:v>
      </x:c>
      <x:c r="K22" s="27" t="str">
        <x:v>30872105</x:v>
      </x:c>
      <x:c r="L22" s="27" t="str">
        <x:v>PMC5434712</x:v>
      </x:c>
      <x:c r="M22" s="27" t="str">
        <x:v>randomized controlled trial</x:v>
      </x:c>
      <x:c r="N22" s="27" t="str">
        <x:v>crohns_disease; ibd_general</x:v>
      </x:c>
      <x:c r="O22" s="27" t="str">
        <x:v>remission; post_surgery</x:v>
      </x:c>
      <x:c r="P22" s="27" t="str">
        <x:v>Adults with IBD, as specified</x:v>
      </x:c>
      <x:c r="Q22" s="27" t="str">
        <x:v>118</x:v>
      </x:c>
      <x:c r="R22" s="27" t="str">
        <x:v>Not reported in abstract</x:v>
      </x:c>
      <x:c r="S22" s="27" t="str">
        <x:v>Diet, nutrition, or lifestyle exposure/intervention as specified by the source</x:v>
      </x:c>
      <x:c r="T22" s="27" t="str">
        <x:v>As specified by the source; not always reported in the abstract</x:v>
      </x:c>
      <x:c r="U22" s="27" t="str">
        <x:v>remission induction or maintenance (as specified)</x:v>
      </x:c>
      <x:c r="V22" s="27" t="str">
        <x:v>We performed a randomized controlled trial to determine whether reduced consumption of red and processed meats decreases the risk of symptomatic relapse of CD, analyzing results from the Food and Crohn's Disease Exacerbation Study (FACES) trial.</x:v>
      </x:c>
      <x:c r="W22" s="27" t="str">
        <x:v>Automated metadata and passage extraction; full methods and tables require human review. Public full text available for deeper review.</x:v>
      </x:c>
      <x:c r="X22" s="27" t="str">
        <x:v>Region was not clearly North American; practical transferability requires local dietetic and healthcare context.</x:v>
      </x:c>
      <x:c r="Y22" s="27" t="str">
        <x:v>Scientifically relevant to Canada/US if disease context and intervention are comparable; food availability, cuisine, fortification, cost, cultural fit, and healthcare delivery may differ.</x:v>
      </x:c>
      <x:c r="Z22" s="27" t="str">
        <x:v>red_processed_meat; symptoms_vs_inflammation; post_surgery</x:v>
      </x:c>
      <x:c r="AA22" s="27" t="str">
        <x:v>public_full_text</x:v>
      </x:c>
      <x:c r="AB22" s="27" t="str">
        <x:v>PMC BioC XML</x:v>
      </x:c>
      <x:c r="AC22" s="27" t="str">
        <x:v>acquired</x:v>
      </x:c>
      <x:c r="AD22" s="27" t="str">
        <x:v>high</x:v>
      </x:c>
      <x:c r="AE22" s="27" t="str">
        <x:v>direct</x:v>
      </x:c>
      <x:c r="AF22" s="27" t="str">
        <x:v>select</x:v>
      </x:c>
      <x:c r="AG22" s="27" t="str">
        <x:v>Selected for authority, evidence level, topical coverage, and direct IBD relevance.</x:v>
      </x:c>
      <x:c r="AH22" s="27" t="str">
        <x:v>Adds coverage for: red_processed_meat, symptoms_vs_inflammation, post_surgery.</x:v>
      </x:c>
      <x:c r="AI22" s="27" t="str">
        <x:v>needs_verification</x:v>
      </x:c>
      <x:c r="AJ22" s="27" t="str">
        <x:v>Original public-full-text acquisition is mismatched to the cited PubMed record; original DOI/PMCID '10.1097/MPG.0b013e3181c92c53'/'PMC5434712' must not be used. Verified DOI/PMCID: '10.1053/j.gastro.2019.03.015'/'PMC6726378'.</x:v>
      </x:c>
      <x:c r="AK22" s="27" t="str">
        <x:v>not_identified_as_superseded</x:v>
      </x:c>
      <x:c r="AL22" s="27" t="str">
        <x:v>10.1053/j.gastro.2019.03.015</x:v>
      </x:c>
      <x:c r="AM22" s="27" t="str">
        <x:v>PMC6726378</x:v>
      </x:c>
      <x:c r="AN22" s="27" t="str">
        <x:v>public_author_manuscript_found</x:v>
      </x:c>
      <x:c r="AO22" s="27" t="str">
        <x:v>https://pmc.ncbi.nlm.nih.gov/articles/PMC6726378/</x:v>
      </x:c>
      <x:c r="AP22" s="27" t="str">
        <x:v>Yes—public abstract</x:v>
      </x:c>
      <x:c r="AQ22" s="27" t="str">
        <x:v>Replace incorrect DOI/PMCID/acquisition metadata and review the correct full text before source approval.</x:v>
      </x:c>
      <x:c r="AR22" s="30" t="str"/>
      <x:c r="AS22" s="30" t="str"/>
    </x:row>
    <x:row r="23" ht="84" customHeight="1">
      <x:c r="A23" s="27" t="str">
        <x:v>SRC-019</x:v>
      </x:c>
      <x:c r="B23" s="27" t="str">
        <x:v>A randomized, 6-wk trial of a low FODMAP diet in patients with inflammatory bowel disease.</x:v>
      </x:c>
      <x:c r="C23" s="27" t="str">
        <x:v>study</x:v>
      </x:c>
      <x:c r="D23" s="27" t="str">
        <x:v>Giorgia Bodini; Claudia Zanella; Mattia Crespi; Sara Lo Pumo; Maria Giulia Demarzo; Edoardo Savarino; Vincenzo Savarino; Edoardo G Giannini</x:v>
      </x:c>
      <x:c r="E23" s="27" t="str"/>
      <x:c r="F23" s="27" t="str">
        <x:v>Nutrition (Burbank, Los Angeles County, Calif.)</x:v>
      </x:c>
      <x:c r="G23" s="27" t="n">
        <x:v>2019</x:v>
      </x:c>
      <x:c r="H23" s="27" t="str">
        <x:v>https://pubmed.ncbi.nlm.nih.gov/31470260/</x:v>
      </x:c>
      <x:c r="I23" s="27" t="str">
        <x:v>https://pubmed.ncbi.nlm.nih.gov/31470260/</x:v>
      </x:c>
      <x:c r="J23" s="27" t="str">
        <x:v>10.1016/j.nut.2019.06.023</x:v>
      </x:c>
      <x:c r="K23" s="27" t="str">
        <x:v>31470260</x:v>
      </x:c>
      <x:c r="L23" s="27" t="str"/>
      <x:c r="M23" s="27" t="str">
        <x:v>randomized controlled trial</x:v>
      </x:c>
      <x:c r="N23" s="27" t="str">
        <x:v>ibd_general</x:v>
      </x:c>
      <x:c r="O23" s="27" t="str">
        <x:v>remission</x:v>
      </x:c>
      <x:c r="P23" s="27" t="str">
        <x:v>People with IBD or source-defined population; details require full-text review</x:v>
      </x:c>
      <x:c r="Q23" s="27" t="str">
        <x:v>Not reported in extracted metadata</x:v>
      </x:c>
      <x:c r="R23" s="27" t="str">
        <x:v>Not reported in abstract</x:v>
      </x:c>
      <x:c r="S23" s="27" t="str">
        <x:v>Diet, nutrition, or lifestyle exposure/intervention as specified by the source</x:v>
      </x:c>
      <x:c r="T23" s="27" t="str">
        <x:v>As specified by the source; not always reported in the abstract</x:v>
      </x:c>
      <x:c r="U23" s="27" t="str">
        <x:v>quality of life</x:v>
      </x:c>
      <x:c r="V23" s="27" t="str">
        <x:v>CONCLUSIONS: A short-term, LFD is safe for patients with IBD, and is associated with an amelioration of fecal inflammatory markers and quality of life even in patients with mainly quiescent disease.</x:v>
      </x:c>
      <x:c r="W23" s="27" t="str">
        <x:v>Automated metadata and passage extraction; full methods and tables require human review. Abstract-only record limits appraisal.</x:v>
      </x:c>
      <x:c r="X23" s="27" t="str">
        <x:v>Region was not clearly North American; practical transferability requires local dietetic and healthcare context.</x:v>
      </x:c>
      <x:c r="Y23" s="27" t="str">
        <x:v>Scientifically relevant to Canada/US if disease context and intervention are comparable; food availability, cuisine, fortification, cost, cultural fit, and healthcare delivery may differ.</x:v>
      </x:c>
      <x:c r="Z23" s="27" t="str">
        <x:v>stress_quality_of_life; symptoms_vs_inflammation</x:v>
      </x:c>
      <x:c r="AA23" s="27" t="str">
        <x:v>abstract_only</x:v>
      </x:c>
      <x:c r="AB23" s="27" t="str">
        <x:v>PubMed abstract</x:v>
      </x:c>
      <x:c r="AC23" s="27" t="str">
        <x:v>acquired</x:v>
      </x:c>
      <x:c r="AD23" s="27" t="str">
        <x:v>moderate</x:v>
      </x:c>
      <x:c r="AE23" s="27" t="str">
        <x:v>direct</x:v>
      </x:c>
      <x:c r="AF23" s="27" t="str">
        <x:v>select</x:v>
      </x:c>
      <x:c r="AG23" s="27" t="str">
        <x:v>Selected for authority, evidence level, topical coverage, and direct IBD relevance.</x:v>
      </x:c>
      <x:c r="AH23" s="27" t="str">
        <x:v>Adds coverage for: stress_quality_of_life, symptoms_vs_inflammation.</x:v>
      </x:c>
      <x:c r="AI23" s="27" t="str">
        <x:v>ready_for_review</x:v>
      </x:c>
      <x:c r="AJ23" s="27" t="str">
        <x:v>Metadata and public supporting material were reconciled; no material integrity issue found in this pass.</x:v>
      </x:c>
      <x:c r="AK23" s="27" t="str">
        <x:v>not_identified_as_superseded</x:v>
      </x:c>
      <x:c r="AL23" s="27" t="str">
        <x:v>10.1016/j.nut.2019.06.023</x:v>
      </x:c>
      <x:c r="AM23" s="27" t="str"/>
      <x:c r="AN23" s="27" t="str">
        <x:v>public_institutional_copy_found</x:v>
      </x:c>
      <x:c r="AO23" s="27" t="str">
        <x:v>https://files.commons.gc.cuny.edu/wp-content/blogs.dir/9362/files/2021/11/bodini2019.pdf</x:v>
      </x:c>
      <x:c r="AP23" s="27" t="str">
        <x:v>Yes—public abstract</x:v>
      </x:c>
      <x:c r="AQ23" s="27" t="str">
        <x:v>Review the verified passage and decide; do not approve automatically.</x:v>
      </x:c>
      <x:c r="AR23" s="30" t="str"/>
      <x:c r="AS23" s="30" t="str"/>
    </x:row>
    <x:row r="24" ht="84" customHeight="1">
      <x:c r="A24" s="27" t="str">
        <x:v>SRC-020</x:v>
      </x:c>
      <x:c r="B24" s="27" t="str">
        <x:v>Association of ultra-processed food intake with risk of inflammatory bowel disease: prospective cohort study.</x:v>
      </x:c>
      <x:c r="C24" s="27" t="str">
        <x:v>study</x:v>
      </x:c>
      <x:c r="D24" s="27" t="str">
        <x:v>Neeraj Narula; Emily C L Wong; Mahshid Dehghan; Andrew Mente; Sumathy Rangarajan; Fernando Lanas; Patricio Lopez-Jaramillo; Priyanka Rohatgi; P V M Lakshmi; Ravi Prasad Varma; Andres Orlandini; Alvaro Avezum; Andreas Wielgosz; Paul Poirier; Majid A Almadi; Yuksel Altuntas; Kien Keat Ng; Jephat Chifamba; Karen Yeates; Thandi Puoane; Rasha Khatib; Rita Yusuf; Kristina Bengtsson Boström; Katarzyna Zatonska; Romaina Iqbal; Liu Weida; Zhu Yibing; Li Sidong; Antonio Dans; Afzalhussein Yusufali; Noushin Mohammadifard; John K Marshall; Paul Moayyedi; Walter Reinisch; Salim Yusuf</x:v>
      </x:c>
      <x:c r="E24" s="27" t="str"/>
      <x:c r="F24" s="27" t="str">
        <x:v>BMJ (Clinical research ed.)</x:v>
      </x:c>
      <x:c r="G24" s="27" t="n">
        <x:v>2021</x:v>
      </x:c>
      <x:c r="H24" s="27" t="str">
        <x:v>https://pubmed.ncbi.nlm.nih.gov/34261638/</x:v>
      </x:c>
      <x:c r="I24" s="27" t="str">
        <x:v>https://pubmed.ncbi.nlm.nih.gov/34261638/</x:v>
      </x:c>
      <x:c r="J24" s="27" t="str">
        <x:v>10.1080/16546628.2017.1305193</x:v>
      </x:c>
      <x:c r="K24" s="27" t="str">
        <x:v>34261638</x:v>
      </x:c>
      <x:c r="L24" s="27" t="str">
        <x:v>PMC5404419</x:v>
      </x:c>
      <x:c r="M24" s="27" t="str">
        <x:v>observational study</x:v>
      </x:c>
      <x:c r="N24" s="27" t="str">
        <x:v>ulcerative_colitis; crohns_disease; ibd_general</x:v>
      </x:c>
      <x:c r="O24" s="27" t="str">
        <x:v>general_or_unspecified</x:v>
      </x:c>
      <x:c r="P24" s="27" t="str">
        <x:v>Adults with IBD, as specified</x:v>
      </x:c>
      <x:c r="Q24" s="27" t="str">
        <x:v>467</x:v>
      </x:c>
      <x:c r="R24" s="27" t="str">
        <x:v>Europe</x:v>
      </x:c>
      <x:c r="S24" s="27" t="str">
        <x:v>Diet, nutrition, or lifestyle exposure/intervention as specified by the source</x:v>
      </x:c>
      <x:c r="T24" s="27" t="str">
        <x:v>As specified by the source; not always reported in the abstract</x:v>
      </x:c>
      <x:c r="U24" s="27" t="str">
        <x:v>disease activity or topic-specific outcome as reported</x:v>
      </x:c>
      <x:c r="V2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W24" s="27" t="str">
        <x:v>Automated metadata and passage extraction; full methods and tables require human review. Public full text available for deeper review.</x:v>
      </x:c>
      <x:c r="X24" s="27" t="str">
        <x:v>Study includes or directly discusses a North American context, but population-level findings are not personalized advice.</x:v>
      </x:c>
      <x:c r="Y24" s="27" t="str">
        <x:v>Moderate-to-high scientific and practical relevance for Canada/US; individual access, cost, culture, disease phenotype, and clinician support still vary.</x:v>
      </x:c>
      <x:c r="Z24" s="27" t="str">
        <x:v>ultra_processed; dairy_lactose; red_processed_meat; fruit_vegetables</x:v>
      </x:c>
      <x:c r="AA24" s="27" t="str">
        <x:v>public_full_text</x:v>
      </x:c>
      <x:c r="AB24" s="27" t="str">
        <x:v>PMC BioC XML</x:v>
      </x:c>
      <x:c r="AC24" s="27" t="str">
        <x:v>acquired</x:v>
      </x:c>
      <x:c r="AD24" s="27" t="str">
        <x:v>moderate</x:v>
      </x:c>
      <x:c r="AE24" s="27" t="str">
        <x:v>direct</x:v>
      </x:c>
      <x:c r="AF24" s="27" t="str">
        <x:v>select</x:v>
      </x:c>
      <x:c r="AG24" s="27" t="str">
        <x:v>Selected for authority, evidence level, topical coverage, and direct IBD relevance.</x:v>
      </x:c>
      <x:c r="AH24" s="27" t="str">
        <x:v>Adds coverage for: ultra_processed, dairy_lactose, red_processed_meat, fruit_vegetables.</x:v>
      </x:c>
      <x:c r="AI24" s="27" t="str">
        <x:v>needs_verification</x:v>
      </x:c>
      <x:c r="AJ24" s="27" t="str">
        <x:v>Original public-full-text acquisition is mismatched to the cited PubMed record; original DOI/PMCID '10.1080/16546628.2017.1305193'/'PMC5404419' must not be used. Verified DOI/PMCID: '10.1136/bmj.n1554'/'PMC8279036'.</x:v>
      </x:c>
      <x:c r="AK24" s="27" t="str">
        <x:v>not_identified_as_superseded</x:v>
      </x:c>
      <x:c r="AL24" s="27" t="str">
        <x:v>10.1136/bmj.n1554</x:v>
      </x:c>
      <x:c r="AM24" s="27" t="str">
        <x:v>PMC8279036</x:v>
      </x:c>
      <x:c r="AN24" s="27" t="str">
        <x:v>public_full_text_found</x:v>
      </x:c>
      <x:c r="AO24" s="27" t="str">
        <x:v>https://pmc.ncbi.nlm.nih.gov/articles/PMC8279036/</x:v>
      </x:c>
      <x:c r="AP24" s="27" t="str">
        <x:v>Yes—public abstract</x:v>
      </x:c>
      <x:c r="AQ24" s="27" t="str">
        <x:v>Replace incorrect DOI/PMCID/acquisition metadata and review the correct full text before source approval.</x:v>
      </x:c>
      <x:c r="AR24" s="30" t="str"/>
      <x:c r="AS24" s="30" t="str"/>
    </x:row>
    <x:row r="25" ht="84" customHeight="1">
      <x:c r="A25" s="27" t="str">
        <x:v>SRC-021</x:v>
      </x:c>
      <x:c r="B25" s="27" t="str">
        <x:v>European Crohn’s and Colitis Organisation consensus on dietary management of inflammatory bowel disease</x:v>
      </x:c>
      <x:c r="C25" s="27" t="str">
        <x:v>guideline</x:v>
      </x:c>
      <x:c r="D25" s="27" t="str"/>
      <x:c r="E25" s="27" t="str">
        <x:v>European Crohn’s and Colitis Organisation</x:v>
      </x:c>
      <x:c r="F25" s="27" t="str"/>
      <x:c r="G25" s="27" t="n">
        <x:v>2025</x:v>
      </x:c>
      <x:c r="H25" s="27" t="str">
        <x:v>https://academic.oup.com/ecco-jcc/article/19/9/jjaf122/8198055</x:v>
      </x:c>
      <x:c r="I25" s="27" t="str">
        <x:v>https://academic.oup.com/ecco-jcc/article/19/9/jjaf122/8198055</x:v>
      </x:c>
      <x:c r="J25" s="27" t="str"/>
      <x:c r="K25" s="27" t="str"/>
      <x:c r="L25" s="27" t="str"/>
      <x:c r="M25" s="27" t="str">
        <x:v>consensus statement</x:v>
      </x:c>
      <x:c r="N25" s="27" t="str">
        <x:v>ulcerative_colitis; crohns_disease; ibd_general</x:v>
      </x:c>
      <x:c r="O25" s="27" t="str">
        <x:v>general_or_unspecified</x:v>
      </x:c>
      <x:c r="P25" s="27" t="str">
        <x:v>Adults with IBD and caregivers</x:v>
      </x:c>
      <x:c r="Q25" s="27" t="str">
        <x:v>Not applicable</x:v>
      </x:c>
      <x:c r="R25" s="27" t="str">
        <x:v>Europe / international consensus</x:v>
      </x:c>
      <x:c r="S25" s="27" t="str">
        <x:v>General diet and nutrition education</x:v>
      </x:c>
      <x:c r="T25" s="27" t="str">
        <x:v>Not applicable</x:v>
      </x:c>
      <x:c r="U25" s="27" t="str">
        <x:v>General patient education and nutritional status</x:v>
      </x:c>
      <x:c r="V25" s="27" t="str">
        <x:v>In the absence of a specific dietary intervention that is recommended by an IBD healthcare professional, healthy eating guidelines should be followed by people with IBD, as recommended for the general population.</x:v>
      </x:c>
      <x:c r="W25" s="27" t="str">
        <x:v>Patient information is explanatory, not a substitute for clinical evidence or individualized care.</x:v>
      </x:c>
      <x:c r="X25" s="27" t="str">
        <x:v>Europe / international consensus source; Canadian and US food environments, labelling, dietetic access, and care pathways may differ.</x:v>
      </x:c>
      <x:c r="Y25" s="27" t="str">
        <x:v>Scientifically relevant to Canada/US when disease context is comparable; food availability, cultural fit, terminology, and healthcare delivery require North American adaptation.</x:v>
      </x:c>
      <x:c r="Z25" s="27" t="str">
        <x:v>dietary_patterns; enteral_nutrition; fibre; stricture_obstruction</x:v>
      </x:c>
      <x:c r="AA25" s="27" t="str">
        <x:v>public_webpage</x:v>
      </x:c>
      <x:c r="AB25" s="27" t="str">
        <x:v>Public webpage</x:v>
      </x:c>
      <x:c r="AC25" s="27" t="str">
        <x:v>partial</x:v>
      </x:c>
      <x:c r="AD25" s="27" t="str">
        <x:v>high</x:v>
      </x:c>
      <x:c r="AE25" s="27" t="str">
        <x:v>direct</x:v>
      </x:c>
      <x:c r="AF25" s="27" t="str">
        <x:v>select</x:v>
      </x:c>
      <x:c r="AG25" s="27" t="str">
        <x:v>Current authoritative clinical guidance.</x:v>
      </x:c>
      <x:c r="AH25" s="27" t="str">
        <x:v>Adds current consensus/guideline coverage.</x:v>
      </x:c>
      <x:c r="AI25" s="27" t="str">
        <x:v>ready_for_review</x:v>
      </x:c>
      <x:c r="AJ25" s="27" t="str">
        <x:v>The original automated request returned HTTP 403; authoritative journal/society material is now accessible and the retained passages were verified without bypassing access controls.</x:v>
      </x:c>
      <x:c r="AK25" s="27" t="str">
        <x:v>not_identified_as_superseded</x:v>
      </x:c>
      <x:c r="AL25" s="27" t="str">
        <x:v>10.1093/ecco-jcc/jjaf122</x:v>
      </x:c>
      <x:c r="AM25" s="27" t="str"/>
      <x:c r="AN25" s="27" t="str">
        <x:v>authoritative_full_text_and_society_summary_accessible</x:v>
      </x:c>
      <x:c r="AO25" s="27" t="str">
        <x:v>https://ecco-ibd.eu/publications/news/issues/2025/volume-20-issue-4/dietary-management-of-inflammatory-bowel-disease-an-ecco-consensus</x:v>
      </x:c>
      <x:c r="AP25" s="27" t="str">
        <x:v>Yes—authoritative public page</x:v>
      </x:c>
      <x:c r="AQ25" s="27" t="str">
        <x:v>Review the verified passage and decide; do not approve automatically.</x:v>
      </x:c>
      <x:c r="AR25" s="30" t="str"/>
      <x:c r="AS25" s="30" t="str"/>
    </x:row>
    <x:row r="26" ht="84" customHeight="1">
      <x:c r="A26" s="27" t="str">
        <x:v>SRC-022</x:v>
      </x:c>
      <x:c r="B26" s="27" t="str">
        <x:v>ECCO Guidelines on Therapeutics in Crohn’s Disease: Medical Treatment</x:v>
      </x:c>
      <x:c r="C26" s="27" t="str">
        <x:v>guideline</x:v>
      </x:c>
      <x:c r="D26" s="27" t="str"/>
      <x:c r="E26" s="27" t="str">
        <x:v>European Crohn’s and Colitis Organisation</x:v>
      </x:c>
      <x:c r="F26" s="27" t="str"/>
      <x:c r="G26" s="27" t="n">
        <x:v>2024</x:v>
      </x:c>
      <x:c r="H26" s="27" t="str">
        <x:v>https://academic.oup.com/ecco-jcc/article/18/10/1531/7693895</x:v>
      </x:c>
      <x:c r="I26" s="27" t="str">
        <x:v>https://academic.oup.com/ecco-jcc/article/18/10/1531/7693895</x:v>
      </x:c>
      <x:c r="J26" s="27" t="str"/>
      <x:c r="K26" s="27" t="str"/>
      <x:c r="L26" s="27" t="str"/>
      <x:c r="M26" s="27" t="str">
        <x:v>clinical guideline</x:v>
      </x:c>
      <x:c r="N26" s="27" t="str">
        <x:v>crohns_disease</x:v>
      </x:c>
      <x:c r="O26" s="27" t="str">
        <x:v>general_or_unspecified</x:v>
      </x:c>
      <x:c r="P26" s="27" t="str">
        <x:v>Adults with IBD and caregivers</x:v>
      </x:c>
      <x:c r="Q26" s="27" t="str">
        <x:v>Not applicable</x:v>
      </x:c>
      <x:c r="R26" s="27" t="str">
        <x:v>Europe / international consensus</x:v>
      </x:c>
      <x:c r="S26" s="27" t="str">
        <x:v>General diet and nutrition education</x:v>
      </x:c>
      <x:c r="T26" s="27" t="str">
        <x:v>Not applicable</x:v>
      </x:c>
      <x:c r="U26" s="27" t="str">
        <x:v>General patient education and nutritional status</x:v>
      </x:c>
      <x:c r="V26" s="27" t="str">
        <x:v>There is emerging evidence that dietary therapies may be beneficial in reducing the inflammatory burden in Crohn's disease.</x:v>
      </x:c>
      <x:c r="W26" s="27" t="str">
        <x:v>Patient information is explanatory, not a substitute for clinical evidence or individualized care.</x:v>
      </x:c>
      <x:c r="X26" s="27" t="str">
        <x:v>Europe / international consensus source; Canadian and US food environments, labelling, dietetic access, and care pathways may differ.</x:v>
      </x:c>
      <x:c r="Y26" s="27" t="str">
        <x:v>Scientifically relevant to Canada/US when disease context is comparable; food availability, cultural fit, terminology, and healthcare delivery require North American adaptation.</x:v>
      </x:c>
      <x:c r="Z26" s="27" t="str">
        <x:v>enteral_nutrition; dietary_patterns; smoking</x:v>
      </x:c>
      <x:c r="AA26" s="27" t="str">
        <x:v>public_webpage</x:v>
      </x:c>
      <x:c r="AB26" s="27" t="str">
        <x:v>Public webpage</x:v>
      </x:c>
      <x:c r="AC26" s="27" t="str">
        <x:v>partial</x:v>
      </x:c>
      <x:c r="AD26" s="27" t="str">
        <x:v>high</x:v>
      </x:c>
      <x:c r="AE26" s="27" t="str">
        <x:v>direct</x:v>
      </x:c>
      <x:c r="AF26" s="27" t="str">
        <x:v>select</x:v>
      </x:c>
      <x:c r="AG26" s="27" t="str">
        <x:v>Current authoritative clinical guidance.</x:v>
      </x:c>
      <x:c r="AH26" s="27" t="str">
        <x:v>Adds current consensus/guideline coverage.</x:v>
      </x:c>
      <x:c r="AI26" s="27" t="str">
        <x:v>ready_for_review</x:v>
      </x:c>
      <x:c r="AJ26" s="27" t="str">
        <x:v>The original automated request returned HTTP 403; authoritative journal/society material is now accessible and the retained passages were verified without bypassing access controls.</x:v>
      </x:c>
      <x:c r="AK26" s="27" t="str">
        <x:v>not_identified_as_superseded</x:v>
      </x:c>
      <x:c r="AL26" s="27" t="str">
        <x:v>10.1093/ecco-jcc/jjae091</x:v>
      </x:c>
      <x:c r="AM26" s="27" t="str"/>
      <x:c r="AN26" s="27" t="str">
        <x:v>authoritative_full_text_accessible</x:v>
      </x:c>
      <x:c r="AO26" s="27" t="str">
        <x:v>https://academic.oup.com/ecco-jcc/article/18/10/1531/7693895</x:v>
      </x:c>
      <x:c r="AP26" s="27" t="str">
        <x:v>Yes—authoritative public page</x:v>
      </x:c>
      <x:c r="AQ26" s="27" t="str">
        <x:v>Review the verified passage and decide; do not approve automatically.</x:v>
      </x:c>
      <x:c r="AR26" s="30" t="str"/>
      <x:c r="AS26" s="30" t="str"/>
    </x:row>
    <x:row r="27" ht="84" customHeight="1">
      <x:c r="A27" s="27" t="str">
        <x:v>SRC-023</x:v>
      </x:c>
      <x:c r="B27" s="27" t="str">
        <x:v>Eating, Diet, &amp; Nutrition for Crohn’s Disease</x:v>
      </x:c>
      <x:c r="C27" s="27" t="str">
        <x:v>expert</x:v>
      </x:c>
      <x:c r="D27" s="27" t="str"/>
      <x:c r="E27" s="27" t="str">
        <x:v>National Institute of Diabetes and Digestive and Kidney Diseases</x:v>
      </x:c>
      <x:c r="F27" s="27" t="str"/>
      <x:c r="G27" s="27" t="n">
        <x:v>2024</x:v>
      </x:c>
      <x:c r="H27" s="27" t="str">
        <x:v>https://www.niddk.nih.gov/health-information/digestive-diseases/crohns-disease/eating-diet-nutrition</x:v>
      </x:c>
      <x:c r="I27" s="27" t="str">
        <x:v>https://www.niddk.nih.gov/health-information/digestive-diseases/crohns-disease/eating-diet-nutrition</x:v>
      </x:c>
      <x:c r="J27" s="27" t="str"/>
      <x:c r="K27" s="27" t="str"/>
      <x:c r="L27" s="27" t="str"/>
      <x:c r="M27" s="27" t="str">
        <x:v>official patient information</x:v>
      </x:c>
      <x:c r="N27" s="27" t="str">
        <x:v>crohns_disease</x:v>
      </x:c>
      <x:c r="O27" s="27" t="str">
        <x:v>general_or_unspecified</x:v>
      </x:c>
      <x:c r="P27" s="27" t="str">
        <x:v>Adults with IBD and caregivers</x:v>
      </x:c>
      <x:c r="Q27" s="27" t="str">
        <x:v>Not applicable</x:v>
      </x:c>
      <x:c r="R27" s="27" t="str">
        <x:v>United States</x:v>
      </x:c>
      <x:c r="S27" s="27" t="str">
        <x:v>General diet and nutrition education</x:v>
      </x:c>
      <x:c r="T27" s="27" t="str">
        <x:v>Not applicable</x:v>
      </x:c>
      <x:c r="U27" s="27" t="str">
        <x:v>General patient education and nutritional status</x:v>
      </x:c>
      <x:c r="V27" s="27" t="str">
        <x:v>Depending on your symptoms and the medicines you take, your doctor may recommend changes to what you eat and drink.</x:v>
      </x:c>
      <x:c r="W27" s="27" t="str">
        <x:v>Patient information is explanatory, not a substitute for clinical evidence or individualized care.</x:v>
      </x:c>
      <x:c r="X27" s="27" t="str">
        <x:v>US source; Canadian healthcare pathways and practical food context may differ.</x:v>
      </x:c>
      <x:c r="Y27" s="27" t="str">
        <x:v>Directly relevant to US health-information use and scientifically relevant to Canada; Canadian care pathways, terminology, food labelling, and service access may differ.</x:v>
      </x:c>
      <x:c r="Z27" s="27" t="str">
        <x:v>nutrition_status; dietary_patterns</x:v>
      </x:c>
      <x:c r="AA27" s="27" t="str">
        <x:v>public_webpage</x:v>
      </x:c>
      <x:c r="AB27" s="27" t="str">
        <x:v>Public webpage</x:v>
      </x:c>
      <x:c r="AC27" s="27" t="str">
        <x:v>acquired</x:v>
      </x:c>
      <x:c r="AD27" s="27" t="str">
        <x:v>moderate</x:v>
      </x:c>
      <x:c r="AE27" s="27" t="str">
        <x:v>direct</x:v>
      </x:c>
      <x:c r="AF27" s="27" t="str">
        <x:v>select</x:v>
      </x:c>
      <x:c r="AG27" s="27" t="str">
        <x:v>Trusted public-health or patient-organization explanation adds communication and safety context.</x:v>
      </x:c>
      <x:c r="AH27" s="27" t="str">
        <x:v>Adds official patient-facing context while remaining lower in the evidence hierarchy.</x:v>
      </x:c>
      <x:c r="AI27" s="27" t="str">
        <x:v>ready_for_review</x:v>
      </x:c>
      <x:c r="AJ27" s="27" t="str">
        <x:v>Metadata and public supporting material were reconciled; no material integrity issue found in this pass.</x:v>
      </x:c>
      <x:c r="AK27" s="27" t="str">
        <x:v>not_identified_as_superseded</x:v>
      </x:c>
      <x:c r="AL27" s="27" t="str"/>
      <x:c r="AM27" s="27" t="str"/>
      <x:c r="AN27" s="27" t="str">
        <x:v>official_public_webpage</x:v>
      </x:c>
      <x:c r="AO27" s="27" t="str">
        <x:v>https://www.niddk.nih.gov/health-information/digestive-diseases/crohns-disease/eating-diet-nutrition</x:v>
      </x:c>
      <x:c r="AP27" s="27" t="str">
        <x:v>Yes—authoritative public page</x:v>
      </x:c>
      <x:c r="AQ27" s="27" t="str">
        <x:v>Review the verified passage and decide; do not approve automatically.</x:v>
      </x:c>
      <x:c r="AR27" s="30" t="str"/>
      <x:c r="AS27" s="30" t="str"/>
    </x:row>
    <x:row r="28" ht="84" customHeight="1">
      <x:c r="A28" s="27" t="str">
        <x:v>SRC-024</x:v>
      </x:c>
      <x:c r="B28" s="27" t="str">
        <x:v>What Should I Eat with IBD?</x:v>
      </x:c>
      <x:c r="C28" s="27" t="str">
        <x:v>expert</x:v>
      </x:c>
      <x:c r="D28" s="27" t="str"/>
      <x:c r="E28" s="27" t="str">
        <x:v>Crohn's &amp; Colitis Foundation</x:v>
      </x:c>
      <x:c r="F28" s="27" t="str"/>
      <x:c r="G28" s="27" t="n">
        <x:v>2026</x:v>
      </x:c>
      <x:c r="H28" s="27" t="str">
        <x:v>https://www.crohnscolitisfoundation.org/patientsandcaregivers/diet-and-nutrition/what-should-i-eat</x:v>
      </x:c>
      <x:c r="I28" s="27" t="str">
        <x:v>https://www.crohnscolitisfoundation.org/patientsandcaregivers/diet-and-nutrition/what-should-i-eat</x:v>
      </x:c>
      <x:c r="J28" s="27" t="str"/>
      <x:c r="K28" s="27" t="str"/>
      <x:c r="L28" s="27" t="str"/>
      <x:c r="M28" s="27" t="str">
        <x:v>official patient information</x:v>
      </x:c>
      <x:c r="N28" s="27" t="str">
        <x:v>ulcerative_colitis; crohns_disease; ibd_general</x:v>
      </x:c>
      <x:c r="O28" s="27" t="str">
        <x:v>general_or_unspecified</x:v>
      </x:c>
      <x:c r="P28" s="27" t="str">
        <x:v>Adults with IBD and caregivers</x:v>
      </x:c>
      <x:c r="Q28" s="27" t="str">
        <x:v>Not applicable</x:v>
      </x:c>
      <x:c r="R28" s="27" t="str">
        <x:v>United States</x:v>
      </x:c>
      <x:c r="S28" s="27" t="str">
        <x:v>General diet and nutrition education</x:v>
      </x:c>
      <x:c r="T28" s="27" t="str">
        <x:v>Not applicable</x:v>
      </x:c>
      <x:c r="U28" s="27" t="str">
        <x:v>General patient education and nutritional status</x:v>
      </x:c>
      <x:c r="V28" s="27" t="str">
        <x:v>After reviewing the recommendations, the Foundation has determined that the information in our Diet and Nutrition resources remains unchanged for the IBD community.</x:v>
      </x:c>
      <x:c r="W28" s="27" t="str">
        <x:v>Patient information is explanatory, not a substitute for clinical evidence or individualized care.</x:v>
      </x:c>
      <x:c r="X28" s="27" t="str">
        <x:v>US source; Canadian healthcare pathways and practical food context may differ.</x:v>
      </x:c>
      <x:c r="Y28" s="27" t="str">
        <x:v>Directly relevant to US health-information use and scientifically relevant to Canada; Canadian care pathways, terminology, food labelling, and service access may differ.</x:v>
      </x:c>
      <x:c r="Z28" s="27" t="str">
        <x:v>dietary_patterns; nutrition_status; symptoms_vs_inflammation</x:v>
      </x:c>
      <x:c r="AA28" s="27" t="str">
        <x:v>public_webpage</x:v>
      </x:c>
      <x:c r="AB28" s="27" t="str">
        <x:v>Public webpage</x:v>
      </x:c>
      <x:c r="AC28" s="27" t="str">
        <x:v>acquired</x:v>
      </x:c>
      <x:c r="AD28" s="27" t="str">
        <x:v>moderate</x:v>
      </x:c>
      <x:c r="AE28" s="27" t="str">
        <x:v>direct</x:v>
      </x:c>
      <x:c r="AF28" s="27" t="str">
        <x:v>select</x:v>
      </x:c>
      <x:c r="AG28" s="27" t="str">
        <x:v>Trusted public-health or patient-organization explanation adds communication and safety context.</x:v>
      </x:c>
      <x:c r="AH28" s="27" t="str">
        <x:v>Adds official patient-facing context while remaining lower in the evidence hierarchy.</x:v>
      </x:c>
      <x:c r="AI28" s="27" t="str">
        <x:v>needs_verification</x:v>
      </x:c>
      <x:c r="AJ28" s="27" t="str">
        <x:v>The official webpage is accessible, but the package's 2026 publication year appears to be an acquisition-year inference rather than a verified publication/version date.</x:v>
      </x:c>
      <x:c r="AK28" s="27" t="str">
        <x:v>not_identified_as_superseded</x:v>
      </x:c>
      <x:c r="AL28" s="27" t="str"/>
      <x:c r="AM28" s="27" t="str"/>
      <x:c r="AN28" s="27" t="str">
        <x:v>official_public_webpage_version_date_unclear</x:v>
      </x:c>
      <x:c r="AO28" s="27" t="str">
        <x:v>https://www.crohnscolitisfoundation.org/patientsandcaregivers/diet-and-nutrition/what-should-i-eat</x:v>
      </x:c>
      <x:c r="AP28" s="27" t="str">
        <x:v>Yes—authoritative public page</x:v>
      </x:c>
      <x:c r="AQ28" s="27" t="str">
        <x:v>Resolve the verification issue before approval.</x:v>
      </x:c>
      <x:c r="AR28" s="30" t="str"/>
      <x:c r="AS28" s="30" t="str"/>
    </x:row>
    <x:row r="29" ht="84" customHeight="1">
      <x:c r="A29" s="28" t="str">
        <x:v>SRC-025</x:v>
      </x:c>
      <x:c r="B29" s="28" t="str">
        <x:v>Food and IBD</x:v>
      </x:c>
      <x:c r="C29" s="28" t="str">
        <x:v>expert</x:v>
      </x:c>
      <x:c r="D29" s="28" t="str"/>
      <x:c r="E29" s="28" t="str">
        <x:v>Crohn's &amp; Colitis UK</x:v>
      </x:c>
      <x:c r="F29" s="28" t="str"/>
      <x:c r="G29" s="28" t="n">
        <x:v>2026</x:v>
      </x:c>
      <x:c r="H29" s="28" t="str">
        <x:v>https://www.crohnsandcolitis.org.uk/info-support/information-about-crohns-and-colitis/all-information-about-crohns-and-colitis/living-with-crohns-or-colitis/food</x:v>
      </x:c>
      <x:c r="I29" s="28" t="str">
        <x:v>https://www.crohnsandcolitis.org.uk/info-support/information-about-crohns-and-colitis/all-information-about-crohns-and-colitis/living-with-crohns-or-colitis/food</x:v>
      </x:c>
      <x:c r="J29" s="28" t="str"/>
      <x:c r="K29" s="28" t="str"/>
      <x:c r="L29" s="28" t="str"/>
      <x:c r="M29" s="28" t="str">
        <x:v>official patient information</x:v>
      </x:c>
      <x:c r="N29" s="28" t="str">
        <x:v>ulcerative_colitis; crohns_disease; ibd_general</x:v>
      </x:c>
      <x:c r="O29" s="28" t="str">
        <x:v>general_or_unspecified</x:v>
      </x:c>
      <x:c r="P29" s="28" t="str">
        <x:v>Adults with IBD and caregivers</x:v>
      </x:c>
      <x:c r="Q29" s="28" t="str">
        <x:v>Not applicable</x:v>
      </x:c>
      <x:c r="R29" s="28" t="str">
        <x:v>United Kingdom</x:v>
      </x:c>
      <x:c r="S29" s="28" t="str">
        <x:v>General diet and nutrition education</x:v>
      </x:c>
      <x:c r="T29" s="28" t="str">
        <x:v>Not applicable</x:v>
      </x:c>
      <x:c r="U29" s="28" t="str">
        <x:v>General patient education and nutritional status</x:v>
      </x:c>
      <x:c r="V29" s="28" t="str">
        <x:v>Melanie Living with Crohn's Fruit and vegetables It is recommended that people try to eat at least five portions of a variety of fruit and vegetables every day.</x:v>
      </x:c>
      <x:c r="W29" s="28" t="str">
        <x:v>Patient information is explanatory, not a substitute for clinical evidence or individualized care.</x:v>
      </x:c>
      <x:c r="X29" s="28" t="str">
        <x:v>United Kingdom source; Canadian and US food environments, labelling, dietetic access, and care pathways may differ.</x:v>
      </x:c>
      <x:c r="Y29" s="28" t="str">
        <x:v>Scientifically relevant to Canada/US when disease context is comparable; food availability, cultural fit, terminology, and healthcare delivery require North American adaptation.</x:v>
      </x:c>
      <x:c r="Z29" s="28" t="str">
        <x:v>dietary_patterns; nutrition_status; food_reintroduction</x:v>
      </x:c>
      <x:c r="AA29" s="28" t="str">
        <x:v>public_webpage</x:v>
      </x:c>
      <x:c r="AB29" s="28" t="str">
        <x:v>Public webpage</x:v>
      </x:c>
      <x:c r="AC29" s="28" t="str">
        <x:v>acquired</x:v>
      </x:c>
      <x:c r="AD29" s="28" t="str">
        <x:v>moderate</x:v>
      </x:c>
      <x:c r="AE29" s="28" t="str">
        <x:v>direct</x:v>
      </x:c>
      <x:c r="AF29" s="28" t="str">
        <x:v>select</x:v>
      </x:c>
      <x:c r="AG29" s="28" t="str">
        <x:v>Trusted public-health or patient-organization explanation adds communication and safety context.</x:v>
      </x:c>
      <x:c r="AH29" s="28" t="str">
        <x:v>Adds official patient-facing context while remaining lower in the evidence hierarchy.</x:v>
      </x:c>
      <x:c r="AI29" s="28" t="str">
        <x:v>needs_verification</x:v>
      </x:c>
      <x:c r="AJ29" s="28" t="str">
        <x:v>The official webpage is accessible, but the package's 2026 publication year appears to be an acquisition-year inference rather than a verified publication/version date.</x:v>
      </x:c>
      <x:c r="AK29" s="28" t="str">
        <x:v>not_identified_as_superseded</x:v>
      </x:c>
      <x:c r="AL29" s="28" t="str"/>
      <x:c r="AM29" s="28" t="str"/>
      <x:c r="AN29" s="28" t="str">
        <x:v>official_public_webpage_version_date_unclear</x:v>
      </x:c>
      <x:c r="AO29" s="28" t="str">
        <x:v>https://www.crohnsandcolitis.org.uk/info-support/information-about-crohns-and-colitis/all-information-about-crohns-and-colitis/living-with-crohns-or-colitis/food</x:v>
      </x:c>
      <x:c r="AP29" s="28" t="str">
        <x:v>Yes—authoritative public page</x:v>
      </x:c>
      <x:c r="AQ29" s="28" t="str">
        <x:v>Resolve the verification issue before approval.</x:v>
      </x:c>
      <x:c r="AR29" s="31" t="str"/>
      <x:c r="AS29" s="31" t="str"/>
    </x:row>
  </x:sheetData>
  <x:mergeCells>
    <x:mergeCell ref="A1:AS1"/>
    <x:mergeCell ref="A2:AS2"/>
  </x:mergeCells>
  <x:conditionalFormatting sqref="AI5:AI29">
    <x:cfRule type="containsText" dxfId="0" priority="1" operator="containsText" text="ready_for_review"/>
    <x:cfRule type="containsText" dxfId="1" priority="2" operator="containsText" text="revision"/>
    <x:cfRule type="containsText" dxfId="2" priority="3" operator="containsText" text="needs"/>
    <x:cfRule type="containsText" dxfId="3" priority="4" operator="containsText" text="insufficient"/>
    <x:cfRule type="containsText" dxfId="4" priority="5" operator="containsText" text="superseded"/>
    <x:cfRule type="containsText" dxfId="5" priority="6" operator="containsText" text="reject"/>
  </x:conditionalFormatting>
  <x:dataValidations count="1">
    <x:dataValidation type="list" sqref="AR5:AR29">
      <x:formula1>"Approve,Reject,Needs more evidence"</x:formula1>
    </x:dataValidation>
  </x:dataValidations>
  <x:pageMargins left="0.7" right="0.7" top="0.75" bottom="0.75" header="0.3" footer="0.3"/>
  <x:tableParts count="1">
    <x:tablePart xmlns:r="http://schemas.openxmlformats.org/officeDocument/2006/relationships" r:id="R0a4d41015448440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8" hidden="0" customWidth="1"/>
    <x:col min="4" max="4" width="14" hidden="0" customWidth="1"/>
    <x:col min="5" max="5" width="34" hidden="0" customWidth="1"/>
    <x:col min="6" max="6" width="24" hidden="0" customWidth="1"/>
    <x:col min="7" max="7" width="24" hidden="0" customWidth="1"/>
    <x:col min="8" max="8" width="22" hidden="0" customWidth="1"/>
    <x:col min="9" max="9" width="20" hidden="0" customWidth="1"/>
    <x:col min="10" max="10" width="48" hidden="0" customWidth="1"/>
    <x:col min="11" max="11" width="48" hidden="0" customWidth="1"/>
    <x:col min="12" max="12" width="38" hidden="0" customWidth="1"/>
    <x:col min="13" max="13" width="50" hidden="0" customWidth="1"/>
    <x:col min="14" max="14" width="20" hidden="0" customWidth="1"/>
    <x:col min="15" max="15" width="12" hidden="0" customWidth="1"/>
    <x:col min="16" max="16" width="20" hidden="0" customWidth="1"/>
    <x:col min="17" max="17" width="22" hidden="0" customWidth="1"/>
    <x:col min="18" max="18" width="30" hidden="0" customWidth="1"/>
    <x:col min="19" max="19" width="18" hidden="0" customWidth="1"/>
    <x:col min="20" max="20" width="20" hidden="0" customWidth="1"/>
    <x:col min="21" max="21" width="32" hidden="0" customWidth="1"/>
    <x:col min="22" max="22" width="30" hidden="0" customWidth="1"/>
    <x:col min="23" max="23" width="28" hidden="0" customWidth="1"/>
    <x:col min="24" max="24" width="40" hidden="0" customWidth="1"/>
    <x:col min="25" max="25" width="40" hidden="0" customWidth="1"/>
    <x:col min="26" max="26" width="40" hidden="0" customWidth="1"/>
    <x:col min="27" max="27" width="16" hidden="0" customWidth="1"/>
    <x:col min="28" max="28" width="24" hidden="0" customWidth="1"/>
    <x:col min="29" max="29" width="22" hidden="0" customWidth="1"/>
    <x:col min="30" max="30" width="28" hidden="0" customWidth="1"/>
    <x:col min="31" max="31" width="48" hidden="0" customWidth="1"/>
    <x:col min="32" max="32" width="54" hidden="0" customWidth="1"/>
    <x:col min="33" max="33" width="48" hidden="0" customWidth="1"/>
    <x:col min="34" max="34" width="34" hidden="0" customWidth="1"/>
    <x:col min="35" max="35" width="28" hidden="0" customWidth="1"/>
    <x:col min="36" max="36" width="46" hidden="0" customWidth="1"/>
    <x:col min="37" max="37" width="26" hidden="0" customWidth="1"/>
    <x:col min="38" max="38" width="48" hidden="0" customWidth="1"/>
    <x:col min="39" max="39" width="38" hidden="0" customWidth="1"/>
  </x:cols>
  <x:sheetData>
    <x:row r="1" ht="30" customHeight="1">
      <x:c r="A1" s="3" t="str">
        <x:v>IBD candidate claims — claim-level QA</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row>
    <x:row r="2" ht="42" customHeight="1">
      <x:c r="A2" s="7" t="str">
        <x:v>Original claims are preserved. Proposed wording is not approved wording. Yellow columns are blank human inputs; symptom, biomarker, and inflammation findings must remain distinct.</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row>
    <x:row r="4" ht="38" customHeight="1">
      <x:c r="A4" s="16" t="str">
        <x:v>Claim ID</x:v>
      </x:c>
      <x:c r="B4" s="17" t="str">
        <x:v>Source ID</x:v>
      </x:c>
      <x:c r="C4" s="17" t="str">
        <x:v>Source title</x:v>
      </x:c>
      <x:c r="D4" s="17" t="str">
        <x:v>Source type</x:v>
      </x:c>
      <x:c r="E4" s="17" t="str">
        <x:v>Source URL</x:v>
      </x:c>
      <x:c r="F4" s="17" t="str">
        <x:v>Condition applicability</x:v>
      </x:c>
      <x:c r="G4" s="17" t="str">
        <x:v>Disease context</x:v>
      </x:c>
      <x:c r="H4" s="17" t="str">
        <x:v>Topic</x:v>
      </x:c>
      <x:c r="I4" s="17" t="str">
        <x:v>Outcome type</x:v>
      </x:c>
      <x:c r="J4" s="17" t="str">
        <x:v>Original candidate claim</x:v>
      </x:c>
      <x:c r="K4" s="17" t="str">
        <x:v>Original plain-language explanation</x:v>
      </x:c>
      <x:c r="L4" s="17" t="str">
        <x:v>Possible product use</x:v>
      </x:c>
      <x:c r="M4" s="17" t="str">
        <x:v>Supporting excerpt</x:v>
      </x:c>
      <x:c r="N4" s="17" t="str">
        <x:v>Section heading</x:v>
      </x:c>
      <x:c r="O4" s="17" t="str">
        <x:v>Page number</x:v>
      </x:c>
      <x:c r="P4" s="17" t="str">
        <x:v>Evidence level</x:v>
      </x:c>
      <x:c r="Q4" s="17" t="str">
        <x:v>Study type</x:v>
      </x:c>
      <x:c r="R4" s="17" t="str">
        <x:v>Population</x:v>
      </x:c>
      <x:c r="S4" s="17" t="str">
        <x:v>Sample size</x:v>
      </x:c>
      <x:c r="T4" s="17" t="str">
        <x:v>Country or region</x:v>
      </x:c>
      <x:c r="U4" s="17" t="str">
        <x:v>Intervention or exposure</x:v>
      </x:c>
      <x:c r="V4" s="17" t="str">
        <x:v>Comparator</x:v>
      </x:c>
      <x:c r="W4" s="17" t="str">
        <x:v>Outcome</x:v>
      </x:c>
      <x:c r="X4" s="17" t="str">
        <x:v>Limitations</x:v>
      </x:c>
      <x:c r="Y4" s="17" t="str">
        <x:v>Applicability limitations</x:v>
      </x:c>
      <x:c r="Z4" s="17" t="str">
        <x:v>Regional applicability</x:v>
      </x:c>
      <x:c r="AA4" s="17" t="str">
        <x:v>Original confidence</x:v>
      </x:c>
      <x:c r="AB4" s="17" t="str">
        <x:v>Extraction method</x:v>
      </x:c>
      <x:c r="AC4" s="17" t="str">
        <x:v>Original review status</x:v>
      </x:c>
      <x:c r="AD4" s="17" t="str">
        <x:v>QA status</x:v>
      </x:c>
      <x:c r="AE4" s="17" t="str">
        <x:v>Original claim preserved</x:v>
      </x:c>
      <x:c r="AF4" s="17" t="str">
        <x:v>Proposed revised claim</x:v>
      </x:c>
      <x:c r="AG4" s="17" t="str">
        <x:v>Revision reason</x:v>
      </x:c>
      <x:c r="AH4" s="17" t="str">
        <x:v>Verification status</x:v>
      </x:c>
      <x:c r="AI4" s="17" t="str">
        <x:v>Conflict classification</x:v>
      </x:c>
      <x:c r="AJ4" s="17" t="str">
        <x:v>Recommended reviewer action</x:v>
      </x:c>
      <x:c r="AK4" s="17" t="str">
        <x:v>User decision</x:v>
      </x:c>
      <x:c r="AL4" s="17" t="str">
        <x:v>User-edited claim</x:v>
      </x:c>
      <x:c r="AM4" s="18" t="str">
        <x:v>Reviewer notes</x:v>
      </x:c>
    </x:row>
    <x:row r="5" ht="96" customHeight="1">
      <x:c r="A5" s="26" t="str">
        <x:v>CLM-001</x:v>
      </x:c>
      <x:c r="B5" s="26" t="str">
        <x:v>SRC-001</x:v>
      </x:c>
      <x:c r="C5" s="26" t="str">
        <x:v>British Society of Gastroenterology guidelines on inflammatory bowel disease in adults: 2025.</x:v>
      </x:c>
      <x:c r="D5" s="26" t="str">
        <x:v>guideline</x:v>
      </x:c>
      <x:c r="E5" s="26" t="str">
        <x:v>https://pubmed.ncbi.nlm.nih.gov/40550582/</x:v>
      </x:c>
      <x:c r="F5" s="26" t="str">
        <x:v>ibd_general</x:v>
      </x:c>
      <x:c r="G5" s="26" t="str">
        <x:v>general_or_unspecified</x:v>
      </x:c>
      <x:c r="H5" s="26" t="str">
        <x:v>core_condition_knowledge</x:v>
      </x:c>
      <x:c r="I5" s="26" t="str">
        <x:v>disease_activity</x:v>
      </x:c>
      <x:c r="J5" s="26" t="str">
        <x:v>Formulated through a systematic and transparent process, this document reflects a consensus of best practices based on current evidence.</x:v>
      </x:c>
      <x:c r="K5" s="26" t="str">
        <x:v>In plain terms, the source reports: Formulated through a systematic and transparent process, this document reflects a consensus of best practices based on current evidence.</x:v>
      </x:c>
      <x:c r="L5" s="26" t="str">
        <x:v>Background explanation with source citation and explicit uncertainty; never personalized diagnosis or treatment advice.</x:v>
      </x:c>
      <x:c r="M5" s="26" t="str">
        <x:v>Formulated through a systematic and transparent process, this document reflects a consensus of best practices based on current evidence.</x:v>
      </x:c>
      <x:c r="N5" s="26" t="str">
        <x:v>PubMed abstract</x:v>
      </x:c>
      <x:c r="O5" s="26" t="str"/>
      <x:c r="P5" s="26" t="str">
        <x:v>formal_guideline</x:v>
      </x:c>
      <x:c r="Q5" s="26" t="str">
        <x:v>clinical guideline</x:v>
      </x:c>
      <x:c r="R5" s="26" t="str">
        <x:v>People with IBD or source-defined population; details require full-text review</x:v>
      </x:c>
      <x:c r="S5" s="26" t="str">
        <x:v>Not reported in extracted metadata</x:v>
      </x:c>
      <x:c r="T5" s="26" t="str">
        <x:v>International</x:v>
      </x:c>
      <x:c r="U5" s="26" t="str">
        <x:v>Diet, nutrition, or lifestyle exposure/intervention as specified by the source</x:v>
      </x:c>
      <x:c r="V5" s="26" t="str">
        <x:v>As specified by the source; not always reported in the abstract</x:v>
      </x:c>
      <x:c r="W5" s="26" t="str">
        <x:v>disease activity or topic-specific outcome as reported</x:v>
      </x:c>
      <x:c r="X5" s="26" t="str">
        <x:v>Automated metadata and passage extraction; full methods and tables require human review. Abstract-only record limits appraisal.</x:v>
      </x:c>
      <x:c r="Y5" s="26" t="str">
        <x:v>Region was not clearly North American; practical transferability requires local dietetic and healthcare context.</x:v>
      </x:c>
      <x:c r="Z5" s="26" t="str">
        <x:v>Scientifically relevant to Canada/US if disease context and intervention are comparable; food availability, cuisine, fortification, cost, cultural fit, and healthcare delivery may differ.</x:v>
      </x:c>
      <x:c r="AA5" s="26" t="str">
        <x:v>moderate</x:v>
      </x:c>
      <x:c r="AB5" s="26" t="str">
        <x:v>deterministic sentence selection</x:v>
      </x:c>
      <x:c r="AC5" s="26" t="str">
        <x:v>pending_human_review</x:v>
      </x:c>
      <x:c r="AD5" s="26" t="str">
        <x:v>reject_recommended</x:v>
      </x:c>
      <x:c r="AE5" s="26" t="str">
        <x:v>Formulated through a systematic and transparent process, this document reflects a consensus of best practices based on current evidence.</x:v>
      </x:c>
      <x:c r="AF5" s="26" t="str"/>
      <x:c r="AG5" s="26" t="str">
        <x:v>This is a methods, background, sample-description, vague, or non-actionable sentence rather than a safe atomic evidence claim; or it falls outside the product's non-diagnostic, non-treatment scope.</x:v>
      </x:c>
      <x:c r="AH5" s="26" t="str">
        <x:v>verified_against_public_abstract</x:v>
      </x:c>
      <x:c r="AI5" s="26" t="str">
        <x:v>not_materially_comparable</x:v>
      </x:c>
      <x:c r="AJ5" s="26" t="str">
        <x:v>Reject unless a reviewer identifies a distinct, directly supported informational use.</x:v>
      </x:c>
      <x:c r="AK5" s="29" t="str"/>
      <x:c r="AL5" s="29" t="str"/>
      <x:c r="AM5" s="29" t="str"/>
    </x:row>
    <x:row r="6" ht="96" customHeight="1">
      <x:c r="A6" s="27" t="str">
        <x:v>CLM-002</x:v>
      </x:c>
      <x:c r="B6" s="27" t="str">
        <x:v>SRC-001</x:v>
      </x:c>
      <x:c r="C6" s="27" t="str">
        <x:v>British Society of Gastroenterology guidelines on inflammatory bowel disease in adults: 2025.</x:v>
      </x:c>
      <x:c r="D6" s="27" t="str">
        <x:v>guideline</x:v>
      </x:c>
      <x:c r="E6" s="27" t="str">
        <x:v>https://pubmed.ncbi.nlm.nih.gov/40550582/</x:v>
      </x:c>
      <x:c r="F6" s="27" t="str">
        <x:v>ibd_general</x:v>
      </x:c>
      <x:c r="G6" s="27" t="str">
        <x:v>remission</x:v>
      </x:c>
      <x:c r="H6" s="27" t="str">
        <x:v>core_condition_knowledge</x:v>
      </x:c>
      <x:c r="I6" s="27" t="str">
        <x:v>adverse_effects</x:v>
      </x:c>
      <x:c r="J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K6" s="27" t="str">
        <x:v>In plain terms, the source reports: In developing the recommendations, 89 clinical experts and stakeholders participated in an online survey, identifying primary outcomes, such as clinical and endoscopic remission, as well as adverse event metrics, all stratified by clinically relevant effect sizes.</x:v>
      </x:c>
      <x:c r="L6" s="27" t="str">
        <x:v>Background explanation with source citation and explicit uncertainty; never personalized diagnosis or treatment advice.</x:v>
      </x:c>
      <x:c r="M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N6" s="27" t="str">
        <x:v>PubMed abstract</x:v>
      </x:c>
      <x:c r="O6" s="27" t="str"/>
      <x:c r="P6" s="27" t="str">
        <x:v>formal_guideline</x:v>
      </x:c>
      <x:c r="Q6" s="27" t="str">
        <x:v>clinical guideline</x:v>
      </x:c>
      <x:c r="R6" s="27" t="str">
        <x:v>People with IBD or source-defined population; details require full-text review</x:v>
      </x:c>
      <x:c r="S6" s="27" t="str">
        <x:v>Not reported in extracted metadata</x:v>
      </x:c>
      <x:c r="T6" s="27" t="str">
        <x:v>International</x:v>
      </x:c>
      <x:c r="U6" s="27" t="str">
        <x:v>Diet, nutrition, or lifestyle exposure/intervention as specified by the source</x:v>
      </x:c>
      <x:c r="V6" s="27" t="str">
        <x:v>As specified by the source; not always reported in the abstract</x:v>
      </x:c>
      <x:c r="W6" s="27" t="str">
        <x:v>remission induction or maintenance (as specified)</x:v>
      </x:c>
      <x:c r="X6" s="27" t="str">
        <x:v>Automated metadata and passage extraction; full methods and tables require human review. Abstract-only record limits appraisal.</x:v>
      </x:c>
      <x:c r="Y6" s="27" t="str">
        <x:v>Region was not clearly North American; practical transferability requires local dietetic and healthcare context.</x:v>
      </x:c>
      <x:c r="Z6" s="27" t="str">
        <x:v>Scientifically relevant to Canada/US if disease context and intervention are comparable; food availability, cuisine, fortification, cost, cultural fit, and healthcare delivery may differ.</x:v>
      </x:c>
      <x:c r="AA6" s="27" t="str">
        <x:v>moderate</x:v>
      </x:c>
      <x:c r="AB6" s="27" t="str">
        <x:v>deterministic sentence selection</x:v>
      </x:c>
      <x:c r="AC6" s="27" t="str">
        <x:v>pending_human_review</x:v>
      </x:c>
      <x:c r="AD6" s="27" t="str">
        <x:v>reject_recommended</x:v>
      </x:c>
      <x:c r="AE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AF6" s="27" t="str"/>
      <x:c r="AG6" s="27" t="str">
        <x:v>This is a methods, background, sample-description, vague, or non-actionable sentence rather than a safe atomic evidence claim; or it falls outside the product's non-diagnostic, non-treatment scope.</x:v>
      </x:c>
      <x:c r="AH6" s="27" t="str">
        <x:v>verified_against_public_abstract</x:v>
      </x:c>
      <x:c r="AI6" s="27" t="str">
        <x:v>not_materially_comparable</x:v>
      </x:c>
      <x:c r="AJ6" s="27" t="str">
        <x:v>Reject unless a reviewer identifies a distinct, directly supported informational use.</x:v>
      </x:c>
      <x:c r="AK6" s="30" t="str"/>
      <x:c r="AL6" s="30" t="str"/>
      <x:c r="AM6" s="30" t="str"/>
    </x:row>
    <x:row r="7" ht="96" customHeight="1">
      <x:c r="A7" s="27" t="str">
        <x:v>CLM-003</x:v>
      </x:c>
      <x:c r="B7" s="27" t="str">
        <x:v>SRC-001</x:v>
      </x:c>
      <x:c r="C7" s="27" t="str">
        <x:v>British Society of Gastroenterology guidelines on inflammatory bowel disease in adults: 2025.</x:v>
      </x:c>
      <x:c r="D7" s="27" t="str">
        <x:v>guideline</x:v>
      </x:c>
      <x:c r="E7" s="27" t="str">
        <x:v>https://pubmed.ncbi.nlm.nih.gov/40550582/</x:v>
      </x:c>
      <x:c r="F7" s="27" t="str">
        <x:v>ibd_general</x:v>
      </x:c>
      <x:c r="G7" s="27" t="str">
        <x:v>general_or_unspecified</x:v>
      </x:c>
      <x:c r="H7" s="27" t="str">
        <x:v>core_condition_knowledge</x:v>
      </x:c>
      <x:c r="I7" s="27" t="str">
        <x:v>disease_activity</x:v>
      </x:c>
      <x:c r="J7" s="27" t="str">
        <x:v>Further research may inform future revisions as new evidence emerges.</x:v>
      </x:c>
      <x:c r="K7" s="27" t="str">
        <x:v>In plain terms, the source reports: Further research may inform future revisions as new evidence emerges.</x:v>
      </x:c>
      <x:c r="L7" s="27" t="str">
        <x:v>Background explanation with source citation and explicit uncertainty; never personalized diagnosis or treatment advice.</x:v>
      </x:c>
      <x:c r="M7" s="27" t="str">
        <x:v>Further research may inform future revisions as new evidence emerges.</x:v>
      </x:c>
      <x:c r="N7" s="27" t="str">
        <x:v>PubMed abstract</x:v>
      </x:c>
      <x:c r="O7" s="27" t="str"/>
      <x:c r="P7" s="27" t="str">
        <x:v>formal_guideline</x:v>
      </x:c>
      <x:c r="Q7" s="27" t="str">
        <x:v>clinical guideline</x:v>
      </x:c>
      <x:c r="R7" s="27" t="str">
        <x:v>People with IBD or source-defined population; details require full-text review</x:v>
      </x:c>
      <x:c r="S7" s="27" t="str">
        <x:v>Not reported in extracted metadata</x:v>
      </x:c>
      <x:c r="T7" s="27" t="str">
        <x:v>International</x:v>
      </x:c>
      <x:c r="U7" s="27" t="str">
        <x:v>Diet, nutrition, or lifestyle exposure/intervention as specified by the source</x:v>
      </x:c>
      <x:c r="V7" s="27" t="str">
        <x:v>As specified by the source; not always reported in the abstract</x:v>
      </x:c>
      <x:c r="W7" s="27" t="str">
        <x:v>disease activity or topic-specific outcome as reported</x:v>
      </x:c>
      <x:c r="X7" s="27" t="str">
        <x:v>Automated metadata and passage extraction; full methods and tables require human review. Abstract-only record limits appraisal.</x:v>
      </x:c>
      <x:c r="Y7" s="27" t="str">
        <x:v>Region was not clearly North American; practical transferability requires local dietetic and healthcare context.</x:v>
      </x:c>
      <x:c r="Z7" s="27" t="str">
        <x:v>Scientifically relevant to Canada/US if disease context and intervention are comparable; food availability, cuisine, fortification, cost, cultural fit, and healthcare delivery may differ.</x:v>
      </x:c>
      <x:c r="AA7" s="27" t="str">
        <x:v>moderate</x:v>
      </x:c>
      <x:c r="AB7" s="27" t="str">
        <x:v>deterministic sentence selection</x:v>
      </x:c>
      <x:c r="AC7" s="27" t="str">
        <x:v>pending_human_review</x:v>
      </x:c>
      <x:c r="AD7" s="27" t="str">
        <x:v>reject_recommended</x:v>
      </x:c>
      <x:c r="AE7" s="27" t="str">
        <x:v>Further research may inform future revisions as new evidence emerges.</x:v>
      </x:c>
      <x:c r="AF7" s="27" t="str"/>
      <x:c r="AG7" s="27" t="str">
        <x:v>This is a methods, background, sample-description, vague, or non-actionable sentence rather than a safe atomic evidence claim; or it falls outside the product's non-diagnostic, non-treatment scope.</x:v>
      </x:c>
      <x:c r="AH7" s="27" t="str">
        <x:v>verified_against_public_abstract</x:v>
      </x:c>
      <x:c r="AI7" s="27" t="str">
        <x:v>not_materially_comparable</x:v>
      </x:c>
      <x:c r="AJ7" s="27" t="str">
        <x:v>Reject unless a reviewer identifies a distinct, directly supported informational use.</x:v>
      </x:c>
      <x:c r="AK7" s="30" t="str"/>
      <x:c r="AL7" s="30" t="str"/>
      <x:c r="AM7" s="30" t="str"/>
    </x:row>
    <x:row r="8" ht="96" customHeight="1">
      <x:c r="A8" s="27" t="str">
        <x:v>CLM-004</x:v>
      </x:c>
      <x:c r="B8" s="27" t="str">
        <x:v>SRC-001</x:v>
      </x:c>
      <x:c r="C8" s="27" t="str">
        <x:v>British Society of Gastroenterology guidelines on inflammatory bowel disease in adults: 2025.</x:v>
      </x:c>
      <x:c r="D8" s="27" t="str">
        <x:v>guideline</x:v>
      </x:c>
      <x:c r="E8" s="27" t="str">
        <x:v>https://pubmed.ncbi.nlm.nih.gov/40550582/</x:v>
      </x:c>
      <x:c r="F8" s="27" t="str">
        <x:v>ibd_general</x:v>
      </x:c>
      <x:c r="G8" s="27" t="str">
        <x:v>general_or_unspecified</x:v>
      </x:c>
      <x:c r="H8" s="27" t="str">
        <x:v>core_condition_knowledge</x:v>
      </x:c>
      <x:c r="I8" s="27" t="str">
        <x:v>inflammation</x:v>
      </x:c>
      <x:c r="J8" s="27" t="str">
        <x:v>In response to recent advancements in inflammatory bowel disease (IBD) management, the British Society of Gastroenterology (BSG) Clinical Services and Standards Committee (CSSC) has commissioned the BSG IBD section to update its guidelines, last revised in 2019.</x:v>
      </x:c>
      <x:c r="K8" s="27" t="str">
        <x:v>In plain terms, the source reports: In response to recent advancements in inflammatory bowel disease (inflammatory bowel disease) management, the British Society of Gastroenterology (BSG) Clinical Services and Standards Committee (CSSC) has commissioned the BSG inflammatory bowel disease section to update its guidelines, last revised in 2019.</x:v>
      </x:c>
      <x:c r="L8" s="27" t="str">
        <x:v>Background explanation with source citation and explicit uncertainty; never personalized diagnosis or treatment advice.</x:v>
      </x:c>
      <x:c r="M8" s="27" t="str">
        <x:v>In response to recent advancements in inflammatory bowel disease (IBD) management, the British Society of Gastroenterology (BSG) Clinical Services and Standards Committee (CSSC) has commissioned the BSG IBD section to update its guidelines, last revised in 2019.</x:v>
      </x:c>
      <x:c r="N8" s="27" t="str">
        <x:v>PubMed abstract</x:v>
      </x:c>
      <x:c r="O8" s="27" t="str"/>
      <x:c r="P8" s="27" t="str">
        <x:v>formal_guideline</x:v>
      </x:c>
      <x:c r="Q8" s="27" t="str">
        <x:v>clinical guideline</x:v>
      </x:c>
      <x:c r="R8" s="27" t="str">
        <x:v>People with IBD or source-defined population; details require full-text review</x:v>
      </x:c>
      <x:c r="S8" s="27" t="str">
        <x:v>Not reported in extracted metadata</x:v>
      </x:c>
      <x:c r="T8" s="27" t="str">
        <x:v>International</x:v>
      </x:c>
      <x:c r="U8" s="27" t="str">
        <x:v>Diet, nutrition, or lifestyle exposure/intervention as specified by the source</x:v>
      </x:c>
      <x:c r="V8" s="27" t="str">
        <x:v>As specified by the source; not always reported in the abstract</x:v>
      </x:c>
      <x:c r="W8" s="27" t="str">
        <x:v>disease activity or topic-specific outcome as reported</x:v>
      </x:c>
      <x:c r="X8" s="27" t="str">
        <x:v>Automated metadata and passage extraction; full methods and tables require human review. Abstract-only record limits appraisal.</x:v>
      </x:c>
      <x:c r="Y8" s="27" t="str">
        <x:v>Region was not clearly North American; practical transferability requires local dietetic and healthcare context.</x:v>
      </x:c>
      <x:c r="Z8" s="27" t="str">
        <x:v>Scientifically relevant to Canada/US if disease context and intervention are comparable; food availability, cuisine, fortification, cost, cultural fit, and healthcare delivery may differ.</x:v>
      </x:c>
      <x:c r="AA8" s="27" t="str">
        <x:v>moderate</x:v>
      </x:c>
      <x:c r="AB8" s="27" t="str">
        <x:v>deterministic sentence selection</x:v>
      </x:c>
      <x:c r="AC8" s="27" t="str">
        <x:v>pending_human_review</x:v>
      </x:c>
      <x:c r="AD8" s="27" t="str">
        <x:v>reject_recommended</x:v>
      </x:c>
      <x:c r="AE8" s="27" t="str">
        <x:v>In response to recent advancements in inflammatory bowel disease (IBD) management, the British Society of Gastroenterology (BSG) Clinical Services and Standards Committee (CSSC) has commissioned the BSG IBD section to update its guidelines, last revised in 2019.</x:v>
      </x:c>
      <x:c r="AF8" s="27" t="str"/>
      <x:c r="AG8" s="27" t="str">
        <x:v>This is a methods, background, sample-description, vague, or non-actionable sentence rather than a safe atomic evidence claim; or it falls outside the product's non-diagnostic, non-treatment scope.</x:v>
      </x:c>
      <x:c r="AH8" s="27" t="str">
        <x:v>verified_against_public_abstract</x:v>
      </x:c>
      <x:c r="AI8" s="27" t="str">
        <x:v>not_materially_comparable</x:v>
      </x:c>
      <x:c r="AJ8" s="27" t="str">
        <x:v>Reject unless a reviewer identifies a distinct, directly supported informational use.</x:v>
      </x:c>
      <x:c r="AK8" s="30" t="str"/>
      <x:c r="AL8" s="30" t="str"/>
      <x:c r="AM8" s="30" t="str"/>
    </x:row>
    <x:row r="9" ht="96" customHeight="1">
      <x:c r="A9" s="27" t="str">
        <x:v>CLM-005</x:v>
      </x:c>
      <x:c r="B9" s="27" t="str">
        <x:v>SRC-002</x:v>
      </x:c>
      <x:c r="C9" s="27" t="str">
        <x:v>AGA Clinical Practice Update on Diet and Nutritional Therapies in Patients With Inflammatory Bowel Disease: Expert Review.</x:v>
      </x:c>
      <x:c r="D9" s="27" t="str">
        <x:v>guideline</x:v>
      </x:c>
      <x:c r="E9" s="27" t="str">
        <x:v>https://pubmed.ncbi.nlm.nih.gov/38276922/</x:v>
      </x:c>
      <x:c r="F9" s="27" t="str">
        <x:v>ibd_general</x:v>
      </x:c>
      <x:c r="G9" s="27" t="str">
        <x:v>general_or_unspecified</x:v>
      </x:c>
      <x:c r="H9" s="27" t="str">
        <x:v>nutrition_status</x:v>
      </x:c>
      <x:c r="I9" s="27" t="str">
        <x:v>nutritional_status</x:v>
      </x:c>
      <x:c r="J9" s="27" t="str">
        <x:v>Dietary restrictions, along with the clinical complications of IBD, can result in malnutrition, an underrecognized condition among this patient population.</x:v>
      </x:c>
      <x:c r="K9" s="27" t="str">
        <x:v>In plain terms, the source reports: Dietary restrictions, along with the clinical complications of inflammatory bowel disease, can result in malnutrition, an underrecognized condition among this patient population.</x:v>
      </x:c>
      <x:c r="L9" s="27" t="str">
        <x:v>Background explanation with source citation and explicit uncertainty; never personalized diagnosis or treatment advice.</x:v>
      </x:c>
      <x:c r="M9" s="27" t="str">
        <x:v>Dietary restrictions, along with the clinical complications of IBD, can result in malnutrition, an underrecognized condition among this patient population.</x:v>
      </x:c>
      <x:c r="N9" s="27" t="str">
        <x:v>PubMed abstract</x:v>
      </x:c>
      <x:c r="O9" s="27" t="str"/>
      <x:c r="P9" s="27" t="str">
        <x:v>formal_guideline</x:v>
      </x:c>
      <x:c r="Q9" s="27" t="str">
        <x:v>clinical guideline</x:v>
      </x:c>
      <x:c r="R9" s="27" t="str">
        <x:v>Children or adolescents with IBD, as specified</x:v>
      </x:c>
      <x:c r="S9" s="27" t="str">
        <x:v>Not reported in extracted metadata</x:v>
      </x:c>
      <x:c r="T9" s="27" t="str">
        <x:v>United States</x:v>
      </x:c>
      <x:c r="U9" s="27" t="str">
        <x:v>Diet, nutrition, or lifestyle exposure/intervention as specified by the source</x:v>
      </x:c>
      <x:c r="V9" s="27" t="str">
        <x:v>As specified by the source; not always reported in the abstract</x:v>
      </x:c>
      <x:c r="W9" s="27" t="str">
        <x:v>disease activity or topic-specific outcome as reported</x:v>
      </x:c>
      <x:c r="X9" s="27" t="str">
        <x:v>Automated metadata and passage extraction; full methods and tables require human review. Abstract-only record limits appraisal.</x:v>
      </x:c>
      <x:c r="Y9" s="27" t="str">
        <x:v>Region was not clearly North American; practical transferability requires local dietetic and healthcare context.</x:v>
      </x:c>
      <x:c r="Z9" s="27" t="str">
        <x:v>Scientifically relevant to Canada/US if disease context and intervention are comparable; food availability, cuisine, fortification, cost, cultural fit, and healthcare delivery may differ.</x:v>
      </x:c>
      <x:c r="AA9" s="27" t="str">
        <x:v>moderate</x:v>
      </x:c>
      <x:c r="AB9" s="27" t="str">
        <x:v>deterministic sentence selection</x:v>
      </x:c>
      <x:c r="AC9" s="27" t="str">
        <x:v>pending_human_review</x:v>
      </x:c>
      <x:c r="AD9" s="27" t="str">
        <x:v>wording_revision_recommended</x:v>
      </x:c>
      <x:c r="AE9" s="27" t="str">
        <x:v>Dietary restrictions, along with the clinical complications of IBD, can result in malnutrition, an underrecognized condition among this patient population.</x:v>
      </x:c>
      <x:c r="AF9" s="27" t="str">
        <x:v>The cited source reports that dietary restrictions, along with the clinical complications of IBD, may contribute to malnutrition, an underrecognized condition among this patient population.</x:v>
      </x:c>
      <x:c r="AG9" s="27" t="str">
        <x:v>Narrow the wording to the exact passage and retain the source's limitations and uncertainty.</x:v>
      </x:c>
      <x:c r="AH9" s="27" t="str">
        <x:v>verified_against_public_abstract</x:v>
      </x:c>
      <x:c r="AI9" s="27" t="str"/>
      <x:c r="AJ9" s="27" t="str">
        <x:v>Review the proposed wording and approve only if the source, population, disease state, and outcome limitation are acceptable.</x:v>
      </x:c>
      <x:c r="AK9" s="30" t="str"/>
      <x:c r="AL9" s="30" t="str"/>
      <x:c r="AM9" s="30" t="str"/>
    </x:row>
    <x:row r="10" ht="96" customHeight="1">
      <x:c r="A10" s="27" t="str">
        <x:v>CLM-006</x:v>
      </x:c>
      <x:c r="B10" s="27" t="str">
        <x:v>SRC-002</x:v>
      </x:c>
      <x:c r="C10" s="27" t="str">
        <x:v>AGA Clinical Practice Update on Diet and Nutritional Therapies in Patients With Inflammatory Bowel Disease: Expert Review.</x:v>
      </x:c>
      <x:c r="D10" s="27" t="str">
        <x:v>guideline</x:v>
      </x:c>
      <x:c r="E10" s="27" t="str">
        <x:v>https://pubmed.ncbi.nlm.nih.gov/38276922/</x:v>
      </x:c>
      <x:c r="F10" s="27" t="str">
        <x:v>crohns_disease</x:v>
      </x:c>
      <x:c r="G10" s="27" t="str">
        <x:v>active_disease; remission</x:v>
      </x:c>
      <x:c r="H10" s="27" t="str">
        <x:v>enteral_nutrition</x:v>
      </x:c>
      <x:c r="I10" s="27" t="str">
        <x:v>remission_induction</x:v>
      </x:c>
      <x:c r="J10" s="27" t="str">
        <x:v>BEST PRACTICE ADVICE 3: Exclusive enteral nutrition using liquid nutrition formulations is an effective therapy for induction of clinical remission and endoscopic response in Crohn's disease, with stronger evidence in children than adults.</x:v>
      </x:c>
      <x:c r="K10" s="27" t="str">
        <x:v>In plain terms, the source reports: BEST PRACTICE ADVICE 3: Exclusive enteral nutrition using liquid nutrition formulations is an effective therapy for induction of clinical remission and endoscopic response in Crohn's disease, with stronger evidence in children than adults.</x:v>
      </x:c>
      <x:c r="L10" s="27" t="str">
        <x:v>Background explanation with source citation and explicit uncertainty; never personalized diagnosis or treatment advice.</x:v>
      </x:c>
      <x:c r="M10" s="27" t="str">
        <x:v>BEST PRACTICE ADVICE 3: Exclusive enteral nutrition using liquid nutrition formulations is an effective therapy for induction of clinical remission and endoscopic response in Crohn's disease, with stronger evidence in children than adults.</x:v>
      </x:c>
      <x:c r="N10" s="27" t="str">
        <x:v>PubMed abstract</x:v>
      </x:c>
      <x:c r="O10" s="27" t="str"/>
      <x:c r="P10" s="27" t="str">
        <x:v>formal_guideline</x:v>
      </x:c>
      <x:c r="Q10" s="27" t="str">
        <x:v>clinical guideline</x:v>
      </x:c>
      <x:c r="R10" s="27" t="str">
        <x:v>Children or adolescents with IBD, as specified</x:v>
      </x:c>
      <x:c r="S10" s="27" t="str">
        <x:v>Not reported in extracted metadata</x:v>
      </x:c>
      <x:c r="T10" s="27" t="str">
        <x:v>United States</x:v>
      </x:c>
      <x:c r="U10" s="27" t="str">
        <x:v>Diet, nutrition, or lifestyle exposure/intervention as specified by the source</x:v>
      </x:c>
      <x:c r="V10" s="27" t="str">
        <x:v>As specified by the source; not always reported in the abstract</x:v>
      </x:c>
      <x:c r="W10" s="27" t="str">
        <x:v>remission induction or maintenance (as specified)</x:v>
      </x:c>
      <x:c r="X10" s="27" t="str">
        <x:v>Automated metadata and passage extraction; full methods and tables require human review. Abstract-only record limits appraisal.</x:v>
      </x:c>
      <x:c r="Y10" s="27" t="str">
        <x:v>Region was not clearly North American; practical transferability requires local dietetic and healthcare context.</x:v>
      </x:c>
      <x:c r="Z10" s="27" t="str">
        <x:v>Scientifically relevant to Canada/US if disease context and intervention are comparable; food availability, cuisine, fortification, cost, cultural fit, and healthcare delivery may differ.</x:v>
      </x:c>
      <x:c r="AA10" s="27" t="str">
        <x:v>moderate</x:v>
      </x:c>
      <x:c r="AB10" s="27" t="str">
        <x:v>deterministic sentence selection</x:v>
      </x:c>
      <x:c r="AC10" s="27" t="str">
        <x:v>pending_human_review</x:v>
      </x:c>
      <x:c r="AD10" s="27" t="str">
        <x:v>wording_revision_recommended</x:v>
      </x:c>
      <x:c r="AE10" s="27" t="str">
        <x:v>BEST PRACTICE ADVICE 3: Exclusive enteral nutrition using liquid nutrition formulations is an effective therapy for induction of clinical remission and endoscopic response in Crohn's disease, with stronger evidence in children than adults.</x:v>
      </x:c>
      <x:c r="AF10" s="27"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AG10" s="27" t="str">
        <x:v>Attribute the statement to the source and retain disease-state, population, evidence-strength, and clinician/dietitian context so it is not personalized treatment advice.</x:v>
      </x:c>
      <x:c r="AH10" s="27" t="str">
        <x:v>verified_against_public_abstract</x:v>
      </x:c>
      <x:c r="AI10" s="27" t="str"/>
      <x:c r="AJ10" s="27" t="str">
        <x:v>Review the proposed wording and approve only if the source, population, disease state, and outcome limitation are acceptable.</x:v>
      </x:c>
      <x:c r="AK10" s="30" t="str"/>
      <x:c r="AL10" s="30" t="str"/>
      <x:c r="AM10" s="30" t="str"/>
    </x:row>
    <x:row r="11" ht="96" customHeight="1">
      <x:c r="A11" s="27" t="str">
        <x:v>CLM-007</x:v>
      </x:c>
      <x:c r="B11" s="27" t="str">
        <x:v>SRC-002</x:v>
      </x:c>
      <x:c r="C11" s="27" t="str">
        <x:v>AGA Clinical Practice Update on Diet and Nutritional Therapies in Patients With Inflammatory Bowel Disease: Expert Review.</x:v>
      </x:c>
      <x:c r="D11" s="27" t="str">
        <x:v>guideline</x:v>
      </x:c>
      <x:c r="E11" s="27" t="str">
        <x:v>https://pubmed.ncbi.nlm.nih.gov/38276922/</x:v>
      </x:c>
      <x:c r="F11" s="27" t="str">
        <x:v>ulcerative_colitis; crohns_disease; ibd_general</x:v>
      </x:c>
      <x:c r="G11" s="27" t="str">
        <x:v>general_or_unspecified</x:v>
      </x:c>
      <x:c r="H11" s="27" t="str">
        <x:v>nutrition_status</x:v>
      </x:c>
      <x:c r="I11" s="27" t="str">
        <x:v>inflammation</x:v>
      </x:c>
      <x:c r="J11" s="27" t="str">
        <x:v>Serum proteins are no longer recommended for the identification and diagnosis of malnutrition due to their lack of specificity for nutritional status and high sensitivity to inflammation.</x:v>
      </x:c>
      <x:c r="K11" s="27" t="str">
        <x:v>In plain terms, the source reports: Serum proteins are no longer recommended for the identification and diagnosis of malnutrition due to their lack of specificity for nutritional status and high sensitivity to inflammation.</x:v>
      </x:c>
      <x:c r="L11" s="27" t="str">
        <x:v>Background explanation with source citation and explicit uncertainty; never personalized diagnosis or treatment advice.</x:v>
      </x:c>
      <x:c r="M11" s="27" t="str">
        <x:v>Serum proteins are no longer recommended for the identification and diagnosis of malnutrition due to their lack of specificity for nutritional status and high sensitivity to inflammation.</x:v>
      </x:c>
      <x:c r="N11" s="27" t="str">
        <x:v>PubMed abstract</x:v>
      </x:c>
      <x:c r="O11" s="27" t="str"/>
      <x:c r="P11" s="27" t="str">
        <x:v>formal_guideline</x:v>
      </x:c>
      <x:c r="Q11" s="27" t="str">
        <x:v>clinical guideline</x:v>
      </x:c>
      <x:c r="R11" s="27" t="str">
        <x:v>Children or adolescents with IBD, as specified</x:v>
      </x:c>
      <x:c r="S11" s="27" t="str">
        <x:v>Not reported in extracted metadata</x:v>
      </x:c>
      <x:c r="T11" s="27" t="str">
        <x:v>United States</x:v>
      </x:c>
      <x:c r="U11" s="27" t="str">
        <x:v>Diet, nutrition, or lifestyle exposure/intervention as specified by the source</x:v>
      </x:c>
      <x:c r="V11" s="27" t="str">
        <x:v>As specified by the source; not always reported in the abstract</x:v>
      </x:c>
      <x:c r="W11" s="27" t="str">
        <x:v>disease activity or topic-specific outcome as reported</x:v>
      </x:c>
      <x:c r="X11" s="27" t="str">
        <x:v>Automated metadata and passage extraction; full methods and tables require human review. Abstract-only record limits appraisal.</x:v>
      </x:c>
      <x:c r="Y11" s="27" t="str">
        <x:v>Region was not clearly North American; practical transferability requires local dietetic and healthcare context.</x:v>
      </x:c>
      <x:c r="Z11" s="27" t="str">
        <x:v>Scientifically relevant to Canada/US if disease context and intervention are comparable; food availability, cuisine, fortification, cost, cultural fit, and healthcare delivery may differ.</x:v>
      </x:c>
      <x:c r="AA11" s="27" t="str">
        <x:v>moderate</x:v>
      </x:c>
      <x:c r="AB11" s="27" t="str">
        <x:v>deterministic sentence selection</x:v>
      </x:c>
      <x:c r="AC11" s="27" t="str">
        <x:v>pending_human_review</x:v>
      </x:c>
      <x:c r="AD11" s="27" t="str">
        <x:v>reject_recommended</x:v>
      </x:c>
      <x:c r="AE11" s="27" t="str">
        <x:v>Serum proteins are no longer recommended for the identification and diagnosis of malnutrition due to their lack of specificity for nutritional status and high sensitivity to inflammation.</x:v>
      </x:c>
      <x:c r="AF11" s="27" t="str"/>
      <x:c r="AG11" s="27" t="str">
        <x:v>This is a methods, background, sample-description, vague, or non-actionable sentence rather than a safe atomic evidence claim; or it falls outside the product's non-diagnostic, non-treatment scope.</x:v>
      </x:c>
      <x:c r="AH11" s="27" t="str">
        <x:v>verified_against_public_abstract</x:v>
      </x:c>
      <x:c r="AI11" s="27" t="str"/>
      <x:c r="AJ11" s="27" t="str">
        <x:v>Reject unless a reviewer identifies a distinct, directly supported informational use.</x:v>
      </x:c>
      <x:c r="AK11" s="30" t="str"/>
      <x:c r="AL11" s="30" t="str"/>
      <x:c r="AM11" s="30" t="str"/>
    </x:row>
    <x:row r="12" ht="96" customHeight="1">
      <x:c r="A12" s="27" t="str">
        <x:v>CLM-008</x:v>
      </x:c>
      <x:c r="B12" s="27" t="str">
        <x:v>SRC-002</x:v>
      </x:c>
      <x:c r="C12" s="27" t="str">
        <x:v>AGA Clinical Practice Update on Diet and Nutritional Therapies in Patients With Inflammatory Bowel Disease: Expert Review.</x:v>
      </x:c>
      <x:c r="D12" s="27" t="str">
        <x:v>guideline</x:v>
      </x:c>
      <x:c r="E12" s="27" t="str">
        <x:v>https://pubmed.ncbi.nlm.nih.gov/38276922/</x:v>
      </x:c>
      <x:c r="F12" s="27" t="str">
        <x:v>ibd_general</x:v>
      </x:c>
      <x:c r="G12" s="27" t="str">
        <x:v>general_or_unspecified</x:v>
      </x:c>
      <x:c r="H12" s="27" t="str">
        <x:v>dietary_patterns</x:v>
      </x:c>
      <x:c r="I12" s="27" t="str">
        <x:v>disease_activity</x:v>
      </x:c>
      <x:c r="J12" s="27" t="str">
        <x:v>A healthy, balanced, Mediterranean diet rich in a variety of fruits and vegetables and decreased intake of ultraprocessed foods have been associated with a lower risk of developing IBD.</x:v>
      </x:c>
      <x:c r="K12" s="27" t="str">
        <x:v>In plain terms, the source reports: A healthy, balanced, Mediterranean diet rich in a variety of fruits and vegetables and decreased intake of ultraprocessed foods have been associated with a lower risk of developing inflammatory bowel disease.</x:v>
      </x:c>
      <x:c r="L12" s="27" t="str">
        <x:v>Background explanation with source citation and explicit uncertainty; never personalized diagnosis or treatment advice.</x:v>
      </x:c>
      <x:c r="M12" s="27" t="str">
        <x:v>A healthy, balanced, Mediterranean diet rich in a variety of fruits and vegetables and decreased intake of ultraprocessed foods have been associated with a lower risk of developing IBD.</x:v>
      </x:c>
      <x:c r="N12" s="27" t="str">
        <x:v>PubMed abstract</x:v>
      </x:c>
      <x:c r="O12" s="27" t="str"/>
      <x:c r="P12" s="27" t="str">
        <x:v>formal_guideline</x:v>
      </x:c>
      <x:c r="Q12" s="27" t="str">
        <x:v>clinical guideline</x:v>
      </x:c>
      <x:c r="R12" s="27" t="str">
        <x:v>Children or adolescents with IBD, as specified</x:v>
      </x:c>
      <x:c r="S12" s="27" t="str">
        <x:v>Not reported in extracted metadata</x:v>
      </x:c>
      <x:c r="T12" s="27" t="str">
        <x:v>United States</x:v>
      </x:c>
      <x:c r="U12" s="27" t="str">
        <x:v>Diet, nutrition, or lifestyle exposure/intervention as specified by the source</x:v>
      </x:c>
      <x:c r="V12" s="27" t="str">
        <x:v>As specified by the source; not always reported in the abstract</x:v>
      </x:c>
      <x:c r="W12" s="27" t="str">
        <x:v>disease activity or topic-specific outcome as reported</x:v>
      </x:c>
      <x:c r="X12" s="27" t="str">
        <x:v>Automated metadata and passage extraction; full methods and tables require human review. Abstract-only record limits appraisal.</x:v>
      </x:c>
      <x:c r="Y12" s="27" t="str">
        <x:v>Region was not clearly North American; practical transferability requires local dietetic and healthcare context.</x:v>
      </x:c>
      <x:c r="Z12" s="27" t="str">
        <x:v>Scientifically relevant to Canada/US if disease context and intervention are comparable; food availability, cuisine, fortification, cost, cultural fit, and healthcare delivery may differ.</x:v>
      </x:c>
      <x:c r="AA12" s="27" t="str">
        <x:v>moderate</x:v>
      </x:c>
      <x:c r="AB12" s="27" t="str">
        <x:v>deterministic sentence selection</x:v>
      </x:c>
      <x:c r="AC12" s="27" t="str">
        <x:v>pending_human_review</x:v>
      </x:c>
      <x:c r="AD12" s="27" t="str">
        <x:v>wording_revision_recommended</x:v>
      </x:c>
      <x:c r="AE12" s="27" t="str">
        <x:v>A healthy, balanced, Mediterranean diet rich in a variety of fruits and vegetables and decreased intake of ultraprocessed foods have been associated with a lower risk of developing IBD.</x:v>
      </x:c>
      <x:c r="AF12" s="27"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AG12" s="27" t="str">
        <x:v>Keep the observational or incidence framing explicit; do not convert association into causal or individual disease-course advice.</x:v>
      </x:c>
      <x:c r="AH12" s="27" t="str">
        <x:v>verified_against_public_abstract</x:v>
      </x:c>
      <x:c r="AI12" s="27" t="str"/>
      <x:c r="AJ12" s="27" t="str">
        <x:v>Review the proposed wording and approve only if the source, population, disease state, and outcome limitation are acceptable.</x:v>
      </x:c>
      <x:c r="AK12" s="30" t="str"/>
      <x:c r="AL12" s="30" t="str"/>
      <x:c r="AM12" s="30" t="str"/>
    </x:row>
    <x:row r="13" ht="96" customHeight="1">
      <x:c r="A13" s="27" t="str">
        <x:v>CLM-009</x:v>
      </x:c>
      <x:c r="B13" s="27" t="str">
        <x:v>SRC-003</x:v>
      </x:c>
      <x:c r="C13" s="27" t="str">
        <x:v>ESPEN guideline: Clinical nutrition in inflammatory bowel disease.</x:v>
      </x:c>
      <x:c r="D13" s="27" t="str">
        <x:v>guideline</x:v>
      </x:c>
      <x:c r="E13" s="27" t="str">
        <x:v>https://pubmed.ncbi.nlm.nih.gov/28131521/</x:v>
      </x:c>
      <x:c r="F13" s="27" t="str">
        <x:v>ulcerative_colitis; crohns_disease; ibd_general</x:v>
      </x:c>
      <x:c r="G13" s="27" t="str">
        <x:v>general_or_unspecified</x:v>
      </x:c>
      <x:c r="H13" s="27" t="str">
        <x:v>nutrition_status</x:v>
      </x:c>
      <x:c r="I13" s="27" t="str">
        <x:v>disease_activity</x:v>
      </x:c>
      <x:c r="J13" s="27" t="str">
        <x:v>Treatment of iron deficiency (parenterally if necessary) is strongly recommended.</x:v>
      </x:c>
      <x:c r="K13" s="27" t="str">
        <x:v>In plain terms, the source reports: Treatment of iron deficiency (parenterally if necessary) is strongly recommended.</x:v>
      </x:c>
      <x:c r="L13" s="27" t="str">
        <x:v>Background explanation with source citation and explicit uncertainty; never personalized diagnosis or treatment advice.</x:v>
      </x:c>
      <x:c r="M13" s="27" t="str">
        <x:v>Treatment of iron deficiency (parenterally if necessary) is strongly recommended.</x:v>
      </x:c>
      <x:c r="N13" s="27" t="str">
        <x:v>PubMed abstract</x:v>
      </x:c>
      <x:c r="O13" s="27" t="str"/>
      <x:c r="P13" s="27" t="str">
        <x:v>formal_guideline</x:v>
      </x:c>
      <x:c r="Q13" s="27" t="str">
        <x:v>clinical guideline</x:v>
      </x:c>
      <x:c r="R13" s="27" t="str">
        <x:v>Children or adolescents with IBD, as specified</x:v>
      </x:c>
      <x:c r="S13" s="27" t="str">
        <x:v>Not reported in extracted metadata</x:v>
      </x:c>
      <x:c r="T13" s="27" t="str">
        <x:v>Not reported in abstract</x:v>
      </x:c>
      <x:c r="U13" s="27" t="str">
        <x:v>Diet, nutrition, or lifestyle exposure/intervention as specified by the source</x:v>
      </x:c>
      <x:c r="V13" s="27" t="str">
        <x:v>As specified by the source; not always reported in the abstract</x:v>
      </x:c>
      <x:c r="W13" s="27" t="str">
        <x:v>disease activity or topic-specific outcome as reported</x:v>
      </x:c>
      <x:c r="X13" s="27" t="str">
        <x:v>Automated metadata and passage extraction; full methods and tables require human review. Abstract-only record limits appraisal.</x:v>
      </x:c>
      <x:c r="Y13" s="27" t="str">
        <x:v>Region was not clearly North American; practical transferability requires local dietetic and healthcare context.</x:v>
      </x:c>
      <x:c r="Z13" s="27" t="str">
        <x:v>Scientifically relevant to Canada/US if disease context and intervention are comparable; food availability, cuisine, fortification, cost, cultural fit, and healthcare delivery may differ.</x:v>
      </x:c>
      <x:c r="AA13" s="27" t="str">
        <x:v>moderate</x:v>
      </x:c>
      <x:c r="AB13" s="27" t="str">
        <x:v>deterministic sentence selection</x:v>
      </x:c>
      <x:c r="AC13" s="27" t="str">
        <x:v>pending_human_review</x:v>
      </x:c>
      <x:c r="AD13" s="27" t="str">
        <x:v>reject_recommended</x:v>
      </x:c>
      <x:c r="AE13" s="27" t="str">
        <x:v>Treatment of iron deficiency (parenterally if necessary) is strongly recommended.</x:v>
      </x:c>
      <x:c r="AF13" s="27" t="str"/>
      <x:c r="AG13" s="27" t="str">
        <x:v>This is a methods, background, sample-description, vague, or non-actionable sentence rather than a safe atomic evidence claim; or it falls outside the product's non-diagnostic, non-treatment scope.</x:v>
      </x:c>
      <x:c r="AH13" s="27" t="str">
        <x:v>verified_against_public_abstract_but_source_superseded</x:v>
      </x:c>
      <x:c r="AI13" s="27" t="str"/>
      <x:c r="AJ13" s="27" t="str">
        <x:v>Reject unless a reviewer identifies a distinct, directly supported informational use.</x:v>
      </x:c>
      <x:c r="AK13" s="30" t="str"/>
      <x:c r="AL13" s="30" t="str"/>
      <x:c r="AM13" s="30" t="str"/>
    </x:row>
    <x:row r="14" ht="96" customHeight="1">
      <x:c r="A14" s="27" t="str">
        <x:v>CLM-010</x:v>
      </x:c>
      <x:c r="B14" s="27" t="str">
        <x:v>SRC-003</x:v>
      </x:c>
      <x:c r="C14" s="27" t="str">
        <x:v>ESPEN guideline: Clinical nutrition in inflammatory bowel disease.</x:v>
      </x:c>
      <x:c r="D14" s="27" t="str">
        <x:v>guideline</x:v>
      </x:c>
      <x:c r="E14" s="27" t="str">
        <x:v>https://pubmed.ncbi.nlm.nih.gov/28131521/</x:v>
      </x:c>
      <x:c r="F14" s="27" t="str">
        <x:v>ibd_general</x:v>
      </x:c>
      <x:c r="G14" s="27" t="str">
        <x:v>post_surgery</x:v>
      </x:c>
      <x:c r="H14" s="27" t="str">
        <x:v>post_surgery</x:v>
      </x:c>
      <x:c r="I14" s="27" t="str">
        <x:v>disease_activity</x:v>
      </x:c>
      <x:c r="J14" s="27" t="str">
        <x:v>The recommended perioperative management of patients with IBD undergoing surgery accords with general ESPEN guidance for patients having abdominal surgery.</x:v>
      </x:c>
      <x:c r="K14" s="27" t="str">
        <x:v>In plain terms, the source reports: The recommended perioperative management of patients with inflammatory bowel disease undergoing surgery accords with general ESPEN guidance for patients having abdominal surgery.</x:v>
      </x:c>
      <x:c r="L14" s="27" t="str">
        <x:v>Background explanation with source citation and explicit uncertainty; never personalized diagnosis or treatment advice.</x:v>
      </x:c>
      <x:c r="M14" s="27" t="str">
        <x:v>The recommended perioperative management of patients with IBD undergoing surgery accords with general ESPEN guidance for patients having abdominal surgery.</x:v>
      </x:c>
      <x:c r="N14" s="27" t="str">
        <x:v>PubMed abstract</x:v>
      </x:c>
      <x:c r="O14" s="27" t="str"/>
      <x:c r="P14" s="27" t="str">
        <x:v>formal_guideline</x:v>
      </x:c>
      <x:c r="Q14" s="27" t="str">
        <x:v>clinical guideline</x:v>
      </x:c>
      <x:c r="R14" s="27" t="str">
        <x:v>Children or adolescents with IBD, as specified</x:v>
      </x:c>
      <x:c r="S14" s="27" t="str">
        <x:v>Not reported in extracted metadata</x:v>
      </x:c>
      <x:c r="T14" s="27" t="str">
        <x:v>Not reported in abstract</x:v>
      </x:c>
      <x:c r="U14" s="27" t="str">
        <x:v>Diet, nutrition, or lifestyle exposure/intervention as specified by the source</x:v>
      </x:c>
      <x:c r="V14" s="27" t="str">
        <x:v>As specified by the source; not always reported in the abstract</x:v>
      </x:c>
      <x:c r="W14" s="27" t="str">
        <x:v>disease activity or topic-specific outcome as reported</x:v>
      </x:c>
      <x:c r="X14" s="27" t="str">
        <x:v>Automated metadata and passage extraction; full methods and tables require human review. Abstract-only record limits appraisal.</x:v>
      </x:c>
      <x:c r="Y14" s="27" t="str">
        <x:v>Region was not clearly North American; practical transferability requires local dietetic and healthcare context.</x:v>
      </x:c>
      <x:c r="Z14" s="27" t="str">
        <x:v>Scientifically relevant to Canada/US if disease context and intervention are comparable; food availability, cuisine, fortification, cost, cultural fit, and healthcare delivery may differ.</x:v>
      </x:c>
      <x:c r="AA14" s="27" t="str">
        <x:v>moderate</x:v>
      </x:c>
      <x:c r="AB14" s="27" t="str">
        <x:v>deterministic sentence selection</x:v>
      </x:c>
      <x:c r="AC14" s="27" t="str">
        <x:v>pending_human_review</x:v>
      </x:c>
      <x:c r="AD14" s="27" t="str">
        <x:v>needs_more_evidence</x:v>
      </x:c>
      <x:c r="AE14" s="27" t="str">
        <x:v>The recommended perioperative management of patients with IBD undergoing surgery accords with general ESPEN guidance for patients having abdominal surgery.</x:v>
      </x:c>
      <x:c r="AF14" s="27" t="str">
        <x:v>The cited source reports that the recommended perioperative management of patients with IBD undergoing surgery accords with general ESPEN guidance for patients having abdominal surgery. This is source-attributed information, not a treatment recommendation for an individual.</x:v>
      </x:c>
      <x:c r="AG14" s="27" t="str">
        <x:v>The statement depends on superseded guidance, missing full-text context, or an unresolved source-level citation/version issue.</x:v>
      </x:c>
      <x:c r="AH14" s="27" t="str">
        <x:v>verified_against_public_abstract_but_source_superseded</x:v>
      </x:c>
      <x:c r="AI14" s="27" t="str"/>
      <x:c r="AJ14" s="27" t="str">
        <x:v>Request stronger/current direct support before approval.</x:v>
      </x:c>
      <x:c r="AK14" s="30" t="str"/>
      <x:c r="AL14" s="30" t="str"/>
      <x:c r="AM14" s="30" t="str"/>
    </x:row>
    <x:row r="15" ht="96" customHeight="1">
      <x:c r="A15" s="27" t="str">
        <x:v>CLM-011</x:v>
      </x:c>
      <x:c r="B15" s="27" t="str">
        <x:v>SRC-003</x:v>
      </x:c>
      <x:c r="C15" s="27" t="str">
        <x:v>ESPEN guideline: Clinical nutrition in inflammatory bowel disease.</x:v>
      </x:c>
      <x:c r="D15" s="27" t="str">
        <x:v>guideline</x:v>
      </x:c>
      <x:c r="E15" s="27" t="str">
        <x:v>https://pubmed.ncbi.nlm.nih.gov/28131521/</x:v>
      </x:c>
      <x:c r="F15" s="27" t="str">
        <x:v>ulcerative_colitis; crohns_disease; ibd_general</x:v>
      </x:c>
      <x:c r="G15" s="27" t="str">
        <x:v>general_or_unspecified</x:v>
      </x:c>
      <x:c r="H15" s="27" t="str">
        <x:v>enteral_nutrition</x:v>
      </x:c>
      <x:c r="I15" s="27" t="str">
        <x:v>nutritional_status</x:v>
      </x:c>
      <x:c r="J15" s="27" t="str">
        <x:v>However, exclusion diets are generally not recommended and there is little evidence to support any particular formula feed when nutritional regimens are constructed.</x:v>
      </x:c>
      <x:c r="K15" s="27" t="str">
        <x:v>In plain terms, the source reports: However, exclusion diets are generally not recommended and there is little evidence to support any particular formula feed when nutritional regimens are constructed.</x:v>
      </x:c>
      <x:c r="L15" s="27" t="str">
        <x:v>Background explanation with source citation and explicit uncertainty; never personalized diagnosis or treatment advice.</x:v>
      </x:c>
      <x:c r="M15" s="27" t="str">
        <x:v>However, exclusion diets are generally not recommended and there is little evidence to support any particular formula feed when nutritional regimens are constructed.</x:v>
      </x:c>
      <x:c r="N15" s="27" t="str">
        <x:v>PubMed abstract</x:v>
      </x:c>
      <x:c r="O15" s="27" t="str"/>
      <x:c r="P15" s="27" t="str">
        <x:v>formal_guideline</x:v>
      </x:c>
      <x:c r="Q15" s="27" t="str">
        <x:v>clinical guideline</x:v>
      </x:c>
      <x:c r="R15" s="27" t="str">
        <x:v>Children or adolescents with IBD, as specified</x:v>
      </x:c>
      <x:c r="S15" s="27" t="str">
        <x:v>Not reported in extracted metadata</x:v>
      </x:c>
      <x:c r="T15" s="27" t="str">
        <x:v>Not reported in abstract</x:v>
      </x:c>
      <x:c r="U15" s="27" t="str">
        <x:v>Diet, nutrition, or lifestyle exposure/intervention as specified by the source</x:v>
      </x:c>
      <x:c r="V15" s="27" t="str">
        <x:v>As specified by the source; not always reported in the abstract</x:v>
      </x:c>
      <x:c r="W15" s="27" t="str">
        <x:v>disease activity or topic-specific outcome as reported</x:v>
      </x:c>
      <x:c r="X15" s="27" t="str">
        <x:v>Automated metadata and passage extraction; full methods and tables require human review. Abstract-only record limits appraisal.</x:v>
      </x:c>
      <x:c r="Y15" s="27" t="str">
        <x:v>Region was not clearly North American; practical transferability requires local dietetic and healthcare context.</x:v>
      </x:c>
      <x:c r="Z15" s="27" t="str">
        <x:v>Scientifically relevant to Canada/US if disease context and intervention are comparable; food availability, cuisine, fortification, cost, cultural fit, and healthcare delivery may differ.</x:v>
      </x:c>
      <x:c r="AA15" s="27" t="str">
        <x:v>moderate</x:v>
      </x:c>
      <x:c r="AB15" s="27" t="str">
        <x:v>deterministic sentence selection</x:v>
      </x:c>
      <x:c r="AC15" s="27" t="str">
        <x:v>pending_human_review</x:v>
      </x:c>
      <x:c r="AD15" s="27" t="str">
        <x:v>needs_more_evidence</x:v>
      </x:c>
      <x:c r="AE15" s="27" t="str">
        <x:v>However, exclusion diets are generally not recommended and there is little evidence to support any particular formula feed when nutritional regimens are constructed.</x:v>
      </x:c>
      <x:c r="AF15" s="27" t="str">
        <x:v>The cited source reports that however, exclusion diets are generally not recommended and there is little evidence to support any particular formula feed when nutritional regimens are constructed. This is source-attributed information, not a treatment recommendation for an individual.</x:v>
      </x:c>
      <x:c r="AG15" s="27" t="str">
        <x:v>The statement depends on superseded guidance, missing full-text context, or an unresolved source-level citation/version issue.</x:v>
      </x:c>
      <x:c r="AH15" s="27" t="str">
        <x:v>verified_against_public_abstract_but_source_superseded</x:v>
      </x:c>
      <x:c r="AI15" s="27" t="str"/>
      <x:c r="AJ15" s="27" t="str">
        <x:v>Request stronger/current direct support before approval.</x:v>
      </x:c>
      <x:c r="AK15" s="30" t="str"/>
      <x:c r="AL15" s="30" t="str"/>
      <x:c r="AM15" s="30" t="str"/>
    </x:row>
    <x:row r="16" ht="96" customHeight="1">
      <x:c r="A16" s="27" t="str">
        <x:v>CLM-012</x:v>
      </x:c>
      <x:c r="B16" s="27" t="str">
        <x:v>SRC-003</x:v>
      </x:c>
      <x:c r="C16" s="27" t="str">
        <x:v>ESPEN guideline: Clinical nutrition in inflammatory bowel disease.</x:v>
      </x:c>
      <x:c r="D16" s="27" t="str">
        <x:v>guideline</x:v>
      </x:c>
      <x:c r="E16" s="27" t="str">
        <x:v>https://pubmed.ncbi.nlm.nih.gov/28131521/</x:v>
      </x:c>
      <x:c r="F16" s="27" t="str">
        <x:v>ulcerative_colitis; crohns_disease; ibd_general</x:v>
      </x:c>
      <x:c r="G16" s="27" t="str">
        <x:v>general_or_unspecified</x:v>
      </x:c>
      <x:c r="H16" s="27" t="str">
        <x:v>core_condition_knowledge</x:v>
      </x:c>
      <x:c r="I16" s="27" t="str">
        <x:v>disease_activity</x:v>
      </x:c>
      <x:c r="J16" s="27" t="str">
        <x:v>The conclusions and 64 recommendations have been subject to full peer review and a Delphi process in which uniformly positive responses (agree or strongly agree) were required.</x:v>
      </x:c>
      <x:c r="K16" s="27" t="str">
        <x:v>In plain terms, the source reports: The conclusions and 64 recommendations have been subject to full peer review and a Delphi process in which uniformly positive responses (agree or strongly agree) were required.</x:v>
      </x:c>
      <x:c r="L16" s="27" t="str">
        <x:v>Background explanation with source citation and explicit uncertainty; never personalized diagnosis or treatment advice.</x:v>
      </x:c>
      <x:c r="M16" s="27" t="str">
        <x:v>The conclusions and 64 recommendations have been subject to full peer review and a Delphi process in which uniformly positive responses (agree or strongly agree) were required.</x:v>
      </x:c>
      <x:c r="N16" s="27" t="str">
        <x:v>PubMed abstract</x:v>
      </x:c>
      <x:c r="O16" s="27" t="str"/>
      <x:c r="P16" s="27" t="str">
        <x:v>formal_guideline</x:v>
      </x:c>
      <x:c r="Q16" s="27" t="str">
        <x:v>clinical guideline</x:v>
      </x:c>
      <x:c r="R16" s="27" t="str">
        <x:v>Children or adolescents with IBD, as specified</x:v>
      </x:c>
      <x:c r="S16" s="27" t="str">
        <x:v>Not reported in extracted metadata</x:v>
      </x:c>
      <x:c r="T16" s="27" t="str">
        <x:v>Not reported in abstract</x:v>
      </x:c>
      <x:c r="U16" s="27" t="str">
        <x:v>Diet, nutrition, or lifestyle exposure/intervention as specified by the source</x:v>
      </x:c>
      <x:c r="V16" s="27" t="str">
        <x:v>As specified by the source; not always reported in the abstract</x:v>
      </x:c>
      <x:c r="W16" s="27" t="str">
        <x:v>disease activity or topic-specific outcome as reported</x:v>
      </x:c>
      <x:c r="X16" s="27" t="str">
        <x:v>Automated metadata and passage extraction; full methods and tables require human review. Abstract-only record limits appraisal.</x:v>
      </x:c>
      <x:c r="Y16" s="27" t="str">
        <x:v>Region was not clearly North American; practical transferability requires local dietetic and healthcare context.</x:v>
      </x:c>
      <x:c r="Z16" s="27" t="str">
        <x:v>Scientifically relevant to Canada/US if disease context and intervention are comparable; food availability, cuisine, fortification, cost, cultural fit, and healthcare delivery may differ.</x:v>
      </x:c>
      <x:c r="AA16" s="27" t="str">
        <x:v>moderate</x:v>
      </x:c>
      <x:c r="AB16" s="27" t="str">
        <x:v>deterministic sentence selection</x:v>
      </x:c>
      <x:c r="AC16" s="27" t="str">
        <x:v>pending_human_review</x:v>
      </x:c>
      <x:c r="AD16" s="27" t="str">
        <x:v>reject_recommended</x:v>
      </x:c>
      <x:c r="AE16" s="27" t="str">
        <x:v>The conclusions and 64 recommendations have been subject to full peer review and a Delphi process in which uniformly positive responses (agree or strongly agree) were required.</x:v>
      </x:c>
      <x:c r="AF16" s="27" t="str"/>
      <x:c r="AG16" s="27" t="str">
        <x:v>This is a methods, background, sample-description, vague, or non-actionable sentence rather than a safe atomic evidence claim; or it falls outside the product's non-diagnostic, non-treatment scope.</x:v>
      </x:c>
      <x:c r="AH16" s="27" t="str">
        <x:v>verified_against_public_abstract_but_source_superseded</x:v>
      </x:c>
      <x:c r="AI16" s="27" t="str"/>
      <x:c r="AJ16" s="27" t="str">
        <x:v>Reject unless a reviewer identifies a distinct, directly supported informational use.</x:v>
      </x:c>
      <x:c r="AK16" s="30" t="str"/>
      <x:c r="AL16" s="30" t="str"/>
      <x:c r="AM16" s="30" t="str"/>
    </x:row>
    <x:row r="17" ht="96" customHeight="1">
      <x:c r="A17" s="27" t="str">
        <x:v>CLM-013</x:v>
      </x:c>
      <x:c r="B17" s="27" t="str">
        <x:v>SRC-004</x:v>
      </x:c>
      <x:c r="C17" s="27" t="str">
        <x:v>Diet, Food, and Nutritional Exposures and Inflammatory Bowel Disease or Progression of Disease: an Umbrella Review.</x:v>
      </x:c>
      <x:c r="D17" s="27" t="str">
        <x:v>review</x:v>
      </x:c>
      <x:c r="E17" s="27" t="str">
        <x:v>https://pubmed.ncbi.nlm.nih.gov/38599319/</x:v>
      </x:c>
      <x:c r="F17" s="27" t="str">
        <x:v>ibd_general</x:v>
      </x:c>
      <x:c r="G17" s="27" t="str">
        <x:v>general_or_unspecified</x:v>
      </x:c>
      <x:c r="H17" s="27" t="str">
        <x:v>ultra_processed</x:v>
      </x:c>
      <x:c r="I17" s="27" t="str">
        <x:v>disease_activity</x:v>
      </x:c>
      <x:c r="J17" s="27" t="str">
        <x:v>Dietary factors associated with an increased incidence and/or progression of IBD include a high intake of red and processed meat, other processed foods, and refined sugars, together with a low intake of vegetables, fruits, and fiber.</x:v>
      </x:c>
      <x:c r="K17" s="27" t="str">
        <x:v>In plain terms, the source reports: Dietary factors associated with an increased incidence and/or progression of inflammatory bowel disease include a high intake of red and processed meat, other processed foods, and refined sugars, together with a low intake of vegetables, fruits, and fiber.</x:v>
      </x:c>
      <x:c r="L17" s="27" t="str">
        <x:v>Background explanation with source citation and explicit uncertainty; never personalized diagnosis or treatment advice.</x:v>
      </x:c>
      <x:c r="M17" s="27" t="str">
        <x:v>Dietary factors associated with an increased incidence and/or progression of IBD include a high intake of red and processed meat, other processed foods, and refined sugars, together with a low intake of vegetables, fruits, and fiber.</x:v>
      </x:c>
      <x:c r="N17" s="27" t="str">
        <x:v>PubMed abstract</x:v>
      </x:c>
      <x:c r="O17" s="27" t="str"/>
      <x:c r="P17" s="27" t="str">
        <x:v>systematic_review</x:v>
      </x:c>
      <x:c r="Q17" s="27" t="str">
        <x:v>systematic review</x:v>
      </x:c>
      <x:c r="R17" s="27" t="str">
        <x:v>People with IBD or source-defined population; details require full-text review</x:v>
      </x:c>
      <x:c r="S17" s="27" t="str">
        <x:v>Not reported in extracted metadata</x:v>
      </x:c>
      <x:c r="T17" s="27" t="str">
        <x:v>Not reported in abstract</x:v>
      </x:c>
      <x:c r="U17" s="27" t="str">
        <x:v>Diet, nutrition, or lifestyle exposure/intervention as specified by the source</x:v>
      </x:c>
      <x:c r="V17" s="27" t="str">
        <x:v>As specified by the source; not always reported in the abstract</x:v>
      </x:c>
      <x:c r="W17" s="27" t="str">
        <x:v>disease activity or topic-specific outcome as reported</x:v>
      </x:c>
      <x:c r="X17" s="27" t="str">
        <x:v>Automated metadata and passage extraction; full methods and tables require human review. Public full text available for deeper review.</x:v>
      </x:c>
      <x:c r="Y17" s="27" t="str">
        <x:v>Region was not clearly North American; practical transferability requires local dietetic and healthcare context.</x:v>
      </x:c>
      <x:c r="Z17" s="27" t="str">
        <x:v>Scientifically relevant to Canada/US if disease context and intervention are comparable; food availability, cuisine, fortification, cost, cultural fit, and healthcare delivery may differ.</x:v>
      </x:c>
      <x:c r="AA17" s="27" t="str">
        <x:v>high</x:v>
      </x:c>
      <x:c r="AB17" s="27" t="str">
        <x:v>deterministic sentence selection</x:v>
      </x:c>
      <x:c r="AC17" s="27" t="str">
        <x:v>pending_human_review</x:v>
      </x:c>
      <x:c r="AD17" s="27" t="str">
        <x:v>wording_revision_recommended</x:v>
      </x:c>
      <x:c r="AE17" s="27" t="str">
        <x:v>Dietary factors associated with an increased incidence and/or progression of IBD include a high intake of red and processed meat, other processed foods, and refined sugars, together with a low intake of vegetables, fruits, and fiber.</x:v>
      </x:c>
      <x:c r="AF17" s="27"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AG17" s="27" t="str">
        <x:v>Keep the observational or incidence framing explicit; do not convert association into causal or individual disease-course advice.</x:v>
      </x:c>
      <x:c r="AH17" s="27" t="str">
        <x:v>verified_against_public_abstract</x:v>
      </x:c>
      <x:c r="AI17" s="27" t="str"/>
      <x:c r="AJ17" s="27" t="str">
        <x:v>Review the proposed wording and approve only if the source, population, disease state, and outcome limitation are acceptable.</x:v>
      </x:c>
      <x:c r="AK17" s="30" t="str"/>
      <x:c r="AL17" s="30" t="str"/>
      <x:c r="AM17" s="30" t="str"/>
    </x:row>
    <x:row r="18" ht="96" customHeight="1">
      <x:c r="A18" s="27" t="str">
        <x:v>CLM-014</x:v>
      </x:c>
      <x:c r="B18" s="27" t="str">
        <x:v>SRC-004</x:v>
      </x:c>
      <x:c r="C18" s="27" t="str">
        <x:v>Diet, Food, and Nutritional Exposures and Inflammatory Bowel Disease or Progression of Disease: an Umbrella Review.</x:v>
      </x:c>
      <x:c r="D18" s="27" t="str">
        <x:v>review</x:v>
      </x:c>
      <x:c r="E18" s="27" t="str">
        <x:v>https://pubmed.ncbi.nlm.nih.gov/38599319/</x:v>
      </x:c>
      <x:c r="F18" s="27" t="str">
        <x:v>ulcerative_colitis; crohns_disease; ibd_general</x:v>
      </x:c>
      <x:c r="G18" s="27" t="str">
        <x:v>general_or_unspecified</x:v>
      </x:c>
      <x:c r="H18" s="27" t="str">
        <x:v>fibre</x:v>
      </x:c>
      <x:c r="I18" s="27" t="str">
        <x:v>disease_activity</x:v>
      </x:c>
      <x:c r="J18" s="27" t="str">
        <x:v>Some differences seem to exist between UC and CD and their risk factors, with increased intake of dietary fiber being inversely associated with CD incidence but not clearly associated with UC.</x:v>
      </x:c>
      <x:c r="K18" s="27" t="str">
        <x:v>In plain terms, the source reports: Some differences seem to exist between UC and CD and their risk factors, with increased intake of dietary fiber being inversely associated with CD incidence but not clearly associated with UC.</x:v>
      </x:c>
      <x:c r="L18" s="27" t="str">
        <x:v>Background explanation with source citation and explicit uncertainty; never personalized diagnosis or treatment advice.</x:v>
      </x:c>
      <x:c r="M18" s="27" t="str">
        <x:v>Some differences seem to exist between UC and CD and their risk factors, with increased intake of dietary fiber being inversely associated with CD incidence but not clearly associated with UC.</x:v>
      </x:c>
      <x:c r="N18" s="27" t="str">
        <x:v>PubMed abstract</x:v>
      </x:c>
      <x:c r="O18" s="27" t="str"/>
      <x:c r="P18" s="27" t="str">
        <x:v>systematic_review</x:v>
      </x:c>
      <x:c r="Q18" s="27" t="str">
        <x:v>systematic review</x:v>
      </x:c>
      <x:c r="R18" s="27" t="str">
        <x:v>People with IBD or source-defined population; details require full-text review</x:v>
      </x:c>
      <x:c r="S18" s="27" t="str">
        <x:v>Not reported in extracted metadata</x:v>
      </x:c>
      <x:c r="T18" s="27" t="str">
        <x:v>Not reported in abstract</x:v>
      </x:c>
      <x:c r="U18" s="27" t="str">
        <x:v>Diet, nutrition, or lifestyle exposure/intervention as specified by the source</x:v>
      </x:c>
      <x:c r="V18" s="27" t="str">
        <x:v>As specified by the source; not always reported in the abstract</x:v>
      </x:c>
      <x:c r="W18" s="27" t="str">
        <x:v>disease activity or topic-specific outcome as reported</x:v>
      </x:c>
      <x:c r="X18" s="27" t="str">
        <x:v>Automated metadata and passage extraction; full methods and tables require human review. Public full text available for deeper review.</x:v>
      </x:c>
      <x:c r="Y18" s="27" t="str">
        <x:v>Region was not clearly North American; practical transferability requires local dietetic and healthcare context.</x:v>
      </x:c>
      <x:c r="Z18" s="27" t="str">
        <x:v>Scientifically relevant to Canada/US if disease context and intervention are comparable; food availability, cuisine, fortification, cost, cultural fit, and healthcare delivery may differ.</x:v>
      </x:c>
      <x:c r="AA18" s="27" t="str">
        <x:v>high</x:v>
      </x:c>
      <x:c r="AB18" s="27" t="str">
        <x:v>deterministic sentence selection</x:v>
      </x:c>
      <x:c r="AC18" s="27" t="str">
        <x:v>pending_human_review</x:v>
      </x:c>
      <x:c r="AD18" s="27" t="str">
        <x:v>wording_revision_recommended</x:v>
      </x:c>
      <x:c r="AE18" s="27" t="str">
        <x:v>Some differences seem to exist between UC and CD and their risk factors, with increased intake of dietary fiber being inversely associated with CD incidence but not clearly associated with UC.</x:v>
      </x:c>
      <x:c r="AF18" s="27"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AG18" s="27" t="str">
        <x:v>Keep the observational or incidence framing explicit; do not convert association into causal or individual disease-course advice.</x:v>
      </x:c>
      <x:c r="AH18" s="27" t="str">
        <x:v>verified_against_public_abstract</x:v>
      </x:c>
      <x:c r="AI18" s="27" t="str"/>
      <x:c r="AJ18" s="27" t="str">
        <x:v>Review the proposed wording and approve only if the source, population, disease state, and outcome limitation are acceptable.</x:v>
      </x:c>
      <x:c r="AK18" s="30" t="str"/>
      <x:c r="AL18" s="30" t="str"/>
      <x:c r="AM18" s="30" t="str"/>
    </x:row>
    <x:row r="19" ht="96" customHeight="1">
      <x:c r="A19" s="27" t="str">
        <x:v>CLM-015</x:v>
      </x:c>
      <x:c r="B19" s="27" t="str">
        <x:v>SRC-004</x:v>
      </x:c>
      <x:c r="C19" s="27" t="str">
        <x:v>Diet, Food, and Nutritional Exposures and Inflammatory Bowel Disease or Progression of Disease: an Umbrella Review.</x:v>
      </x:c>
      <x:c r="D19" s="27" t="str">
        <x:v>review</x:v>
      </x:c>
      <x:c r="E19" s="27" t="str">
        <x:v>https://pubmed.ncbi.nlm.nih.gov/38599319/</x:v>
      </x:c>
      <x:c r="F19" s="27" t="str">
        <x:v>ibd_general</x:v>
      </x:c>
      <x:c r="G19" s="27" t="str">
        <x:v>general_or_unspecified</x:v>
      </x:c>
      <x:c r="H19" s="27" t="str">
        <x:v>dietary_patterns</x:v>
      </x:c>
      <x:c r="I19" s="27" t="str">
        <x:v>disease_activity</x:v>
      </x:c>
      <x:c r="J19" s="27" t="str">
        <x:v>Mediterranean diets, vegetarian diets, and a diet low in grains, sugars, and lactose (specific carbohydrate diet) are also associated with lower incidence and/or progression of IBD.</x:v>
      </x:c>
      <x:c r="K19" s="27" t="str">
        <x:v>In plain terms, the source reports: Mediterranean diets, vegetarian diets, and a diet low in grains, sugars, and lactose (specific carbohydrate diet) are also associated with lower incidence and/or progression of inflammatory bowel disease.</x:v>
      </x:c>
      <x:c r="L19" s="27" t="str">
        <x:v>Background explanation with source citation and explicit uncertainty; never personalized diagnosis or treatment advice.</x:v>
      </x:c>
      <x:c r="M19" s="27" t="str">
        <x:v>Mediterranean diets, vegetarian diets, and a diet low in grains, sugars, and lactose (specific carbohydrate diet) are also associated with lower incidence and/or progression of IBD.</x:v>
      </x:c>
      <x:c r="N19" s="27" t="str">
        <x:v>PubMed abstract</x:v>
      </x:c>
      <x:c r="O19" s="27" t="str"/>
      <x:c r="P19" s="27" t="str">
        <x:v>systematic_review</x:v>
      </x:c>
      <x:c r="Q19" s="27" t="str">
        <x:v>systematic review</x:v>
      </x:c>
      <x:c r="R19" s="27" t="str">
        <x:v>People with IBD or source-defined population; details require full-text review</x:v>
      </x:c>
      <x:c r="S19" s="27" t="str">
        <x:v>Not reported in extracted metadata</x:v>
      </x:c>
      <x:c r="T19" s="27" t="str">
        <x:v>Not reported in abstract</x:v>
      </x:c>
      <x:c r="U19" s="27" t="str">
        <x:v>Diet, nutrition, or lifestyle exposure/intervention as specified by the source</x:v>
      </x:c>
      <x:c r="V19" s="27" t="str">
        <x:v>As specified by the source; not always reported in the abstract</x:v>
      </x:c>
      <x:c r="W19" s="27" t="str">
        <x:v>disease activity or topic-specific outcome as reported</x:v>
      </x:c>
      <x:c r="X19" s="27" t="str">
        <x:v>Automated metadata and passage extraction; full methods and tables require human review. Public full text available for deeper review.</x:v>
      </x:c>
      <x:c r="Y19" s="27" t="str">
        <x:v>Region was not clearly North American; practical transferability requires local dietetic and healthcare context.</x:v>
      </x:c>
      <x:c r="Z19" s="27" t="str">
        <x:v>Scientifically relevant to Canada/US if disease context and intervention are comparable; food availability, cuisine, fortification, cost, cultural fit, and healthcare delivery may differ.</x:v>
      </x:c>
      <x:c r="AA19" s="27" t="str">
        <x:v>high</x:v>
      </x:c>
      <x:c r="AB19" s="27" t="str">
        <x:v>deterministic sentence selection</x:v>
      </x:c>
      <x:c r="AC19" s="27" t="str">
        <x:v>pending_human_review</x:v>
      </x:c>
      <x:c r="AD19" s="27" t="str">
        <x:v>wording_revision_recommended</x:v>
      </x:c>
      <x:c r="AE19" s="27" t="str">
        <x:v>Mediterranean diets, vegetarian diets, and a diet low in grains, sugars, and lactose (specific carbohydrate diet) are also associated with lower incidence and/or progression of IBD.</x:v>
      </x:c>
      <x:c r="AF19" s="27"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AG19" s="27" t="str">
        <x:v>Keep the observational or incidence framing explicit; do not convert association into causal or individual disease-course advice.</x:v>
      </x:c>
      <x:c r="AH19" s="27" t="str">
        <x:v>verified_against_public_abstract</x:v>
      </x:c>
      <x:c r="AI19" s="27" t="str"/>
      <x:c r="AJ19" s="27" t="str">
        <x:v>Review the proposed wording and approve only if the source, population, disease state, and outcome limitation are acceptable.</x:v>
      </x:c>
      <x:c r="AK19" s="30" t="str"/>
      <x:c r="AL19" s="30" t="str"/>
      <x:c r="AM19" s="30" t="str"/>
    </x:row>
    <x:row r="20" ht="96" customHeight="1">
      <x:c r="A20" s="27" t="str">
        <x:v>CLM-016</x:v>
      </x:c>
      <x:c r="B20" s="27" t="str">
        <x:v>SRC-004</x:v>
      </x:c>
      <x:c r="C20" s="27" t="str">
        <x:v>Diet, Food, and Nutritional Exposures and Inflammatory Bowel Disease or Progression of Disease: an Umbrella Review.</x:v>
      </x:c>
      <x:c r="D20" s="27" t="str">
        <x:v>review</x:v>
      </x:c>
      <x:c r="E20" s="27" t="str">
        <x:v>https://pubmed.ncbi.nlm.nih.gov/38599319/</x:v>
      </x:c>
      <x:c r="F20" s="27" t="str">
        <x:v>ulcerative_colitis; crohns_disease; ibd_general</x:v>
      </x:c>
      <x:c r="G20" s="27" t="str">
        <x:v>general_or_unspecified</x:v>
      </x:c>
      <x:c r="H20" s="27" t="str">
        <x:v>core_condition_knowledge</x:v>
      </x:c>
      <x:c r="I20" s="27" t="str">
        <x:v>disease_activity</x:v>
      </x:c>
      <x:c r="J20" s="27" t="str">
        <x:v>This umbrella review comprehensively synthesizes evidence from systematic reviews and meta-analyses to evaluate these complex associations.</x:v>
      </x:c>
      <x:c r="K20" s="27" t="str">
        <x:v>In plain terms, the source reports: This umbrella review comprehensively synthesizes evidence from systematic reviews and meta-analyses to evaluate these complex associations.</x:v>
      </x:c>
      <x:c r="L20" s="27" t="str">
        <x:v>Background explanation with source citation and explicit uncertainty; never personalized diagnosis or treatment advice.</x:v>
      </x:c>
      <x:c r="M20" s="27" t="str">
        <x:v>This umbrella review comprehensively synthesizes evidence from systematic reviews and meta-analyses to evaluate these complex associations.</x:v>
      </x:c>
      <x:c r="N20" s="27" t="str">
        <x:v>PubMed abstract</x:v>
      </x:c>
      <x:c r="O20" s="27" t="str"/>
      <x:c r="P20" s="27" t="str">
        <x:v>systematic_review</x:v>
      </x:c>
      <x:c r="Q20" s="27" t="str">
        <x:v>systematic review</x:v>
      </x:c>
      <x:c r="R20" s="27" t="str">
        <x:v>People with IBD or source-defined population; details require full-text review</x:v>
      </x:c>
      <x:c r="S20" s="27" t="str">
        <x:v>Not reported in extracted metadata</x:v>
      </x:c>
      <x:c r="T20" s="27" t="str">
        <x:v>Not reported in abstract</x:v>
      </x:c>
      <x:c r="U20" s="27" t="str">
        <x:v>Diet, nutrition, or lifestyle exposure/intervention as specified by the source</x:v>
      </x:c>
      <x:c r="V20" s="27" t="str">
        <x:v>As specified by the source; not always reported in the abstract</x:v>
      </x:c>
      <x:c r="W20" s="27" t="str">
        <x:v>disease activity or topic-specific outcome as reported</x:v>
      </x:c>
      <x:c r="X20" s="27" t="str">
        <x:v>Automated metadata and passage extraction; full methods and tables require human review. Public full text available for deeper review.</x:v>
      </x:c>
      <x:c r="Y20" s="27" t="str">
        <x:v>Region was not clearly North American; practical transferability requires local dietetic and healthcare context.</x:v>
      </x:c>
      <x:c r="Z20" s="27" t="str">
        <x:v>Scientifically relevant to Canada/US if disease context and intervention are comparable; food availability, cuisine, fortification, cost, cultural fit, and healthcare delivery may differ.</x:v>
      </x:c>
      <x:c r="AA20" s="27" t="str">
        <x:v>high</x:v>
      </x:c>
      <x:c r="AB20" s="27" t="str">
        <x:v>deterministic sentence selection</x:v>
      </x:c>
      <x:c r="AC20" s="27" t="str">
        <x:v>pending_human_review</x:v>
      </x:c>
      <x:c r="AD20" s="27" t="str">
        <x:v>reject_recommended</x:v>
      </x:c>
      <x:c r="AE20" s="27" t="str">
        <x:v>This umbrella review comprehensively synthesizes evidence from systematic reviews and meta-analyses to evaluate these complex associations.</x:v>
      </x:c>
      <x:c r="AF20" s="27" t="str"/>
      <x:c r="AG20" s="27" t="str">
        <x:v>This is a methods, background, sample-description, vague, or non-actionable sentence rather than a safe atomic evidence claim; or it falls outside the product's non-diagnostic, non-treatment scope.</x:v>
      </x:c>
      <x:c r="AH20" s="27" t="str">
        <x:v>verified_against_public_abstract</x:v>
      </x:c>
      <x:c r="AI20" s="27" t="str"/>
      <x:c r="AJ20" s="27" t="str">
        <x:v>Reject unless a reviewer identifies a distinct, directly supported informational use.</x:v>
      </x:c>
      <x:c r="AK20" s="30" t="str"/>
      <x:c r="AL20" s="30" t="str"/>
      <x:c r="AM20" s="30" t="str"/>
    </x:row>
    <x:row r="21" ht="96" customHeight="1">
      <x:c r="A21" s="27" t="str">
        <x:v>CLM-017</x:v>
      </x:c>
      <x:c r="B21" s="27" t="str">
        <x:v>SRC-005</x:v>
      </x:c>
      <x:c r="C21" s="27" t="str">
        <x:v>Dietary Interventions for the Treatment of Inflammatory Bowel Diseases: An Updated Systematic Review and Meta-analysis.</x:v>
      </x:c>
      <x:c r="D21" s="27" t="str">
        <x:v>review</x:v>
      </x:c>
      <x:c r="E21" s="27" t="str">
        <x:v>https://pubmed.ncbi.nlm.nih.gov/36470529/</x:v>
      </x:c>
      <x:c r="F21" s="27" t="str">
        <x:v>crohns_disease</x:v>
      </x:c>
      <x:c r="G21" s="27" t="str">
        <x:v>active_disease; remission</x:v>
      </x:c>
      <x:c r="H21" s="27" t="str">
        <x:v>symptoms_vs_inflammation</x:v>
      </x:c>
      <x:c r="I21" s="27" t="str">
        <x:v>remission_induction</x:v>
      </x:c>
      <x:c r="J21" s="27" t="str">
        <x:v>For induction of remission in Crohn's disease (CD), low refined carbohydrate diet and symptoms-guided diet outperformed controls, but studies had serious imprecision and very low certainty of evidence.</x:v>
      </x:c>
      <x:c r="K21" s="27" t="str">
        <x:v>In plain terms, the source reports: For induction of remission in Crohn's disease (CD), low refined carbohydrate diet and symptoms-guided diet outperformed controls, but studies had serious imprecision and very low certainty of evidence.</x:v>
      </x:c>
      <x:c r="L21" s="27" t="str">
        <x:v>Background explanation with source citation and explicit uncertainty; never personalized diagnosis or treatment advice.</x:v>
      </x:c>
      <x:c r="M21" s="27" t="str">
        <x:v>For induction of remission in Crohn's disease (CD), low refined carbohydrate diet and symptoms-guided diet outperformed controls, but studies had serious imprecision and very low certainty of evidence.</x:v>
      </x:c>
      <x:c r="N21" s="27" t="str">
        <x:v>PubMed abstract</x:v>
      </x:c>
      <x:c r="O21" s="27" t="str"/>
      <x:c r="P21" s="27" t="str">
        <x:v>meta_analysis</x:v>
      </x:c>
      <x:c r="Q21" s="27" t="str">
        <x:v>meta-analysis</x:v>
      </x:c>
      <x:c r="R21" s="27" t="str">
        <x:v>People with IBD or source-defined population; details require full-text review</x:v>
      </x:c>
      <x:c r="S21" s="27" t="str">
        <x:v>Not reported in extracted metadata</x:v>
      </x:c>
      <x:c r="T21" s="27" t="str">
        <x:v>Not reported in abstract</x:v>
      </x:c>
      <x:c r="U21" s="27" t="str">
        <x:v>Diet, nutrition, or lifestyle exposure/intervention as specified by the source</x:v>
      </x:c>
      <x:c r="V21" s="27" t="str">
        <x:v>As specified by the source; not always reported in the abstract</x:v>
      </x:c>
      <x:c r="W21" s="27" t="str">
        <x:v>remission induction or maintenance (as specified)</x:v>
      </x:c>
      <x:c r="X21" s="27" t="str">
        <x:v>Automated metadata and passage extraction; full methods and tables require human review. Abstract-only record limits appraisal.</x:v>
      </x:c>
      <x:c r="Y21" s="27" t="str">
        <x:v>Region was not clearly North American; practical transferability requires local dietetic and healthcare context.</x:v>
      </x:c>
      <x:c r="Z21" s="27" t="str">
        <x:v>Scientifically relevant to Canada/US if disease context and intervention are comparable; food availability, cuisine, fortification, cost, cultural fit, and healthcare delivery may differ.</x:v>
      </x:c>
      <x:c r="AA21" s="27" t="str">
        <x:v>moderate</x:v>
      </x:c>
      <x:c r="AB21" s="27" t="str">
        <x:v>deterministic sentence selection</x:v>
      </x:c>
      <x:c r="AC21" s="27" t="str">
        <x:v>pending_human_review</x:v>
      </x:c>
      <x:c r="AD21" s="27" t="str">
        <x:v>wording_revision_recommended</x:v>
      </x:c>
      <x:c r="AE21" s="27" t="str">
        <x:v>For induction of remission in Crohn's disease (CD), low refined carbohydrate diet and symptoms-guided diet outperformed controls, but studies had serious imprecision and very low certainty of evidence.</x:v>
      </x:c>
      <x:c r="AF21" s="27"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AG21" s="27" t="str">
        <x:v>Narrow the wording to the exact passage and retain the source's limitations and uncertainty.</x:v>
      </x:c>
      <x:c r="AH21" s="27" t="str">
        <x:v>verified_against_public_abstract</x:v>
      </x:c>
      <x:c r="AI21" s="27" t="str"/>
      <x:c r="AJ21" s="27" t="str">
        <x:v>Review the proposed wording and approve only if the source, population, disease state, and outcome limitation are acceptable.</x:v>
      </x:c>
      <x:c r="AK21" s="30" t="str"/>
      <x:c r="AL21" s="30" t="str"/>
      <x:c r="AM21" s="30" t="str"/>
    </x:row>
    <x:row r="22" ht="96" customHeight="1">
      <x:c r="A22" s="27" t="str">
        <x:v>CLM-018</x:v>
      </x:c>
      <x:c r="B22" s="27" t="str">
        <x:v>SRC-005</x:v>
      </x:c>
      <x:c r="C22" s="27" t="str">
        <x:v>Dietary Interventions for the Treatment of Inflammatory Bowel Diseases: An Updated Systematic Review and Meta-analysis.</x:v>
      </x:c>
      <x:c r="D22" s="27" t="str">
        <x:v>review</x:v>
      </x:c>
      <x:c r="E22" s="27" t="str">
        <x:v>https://pubmed.ncbi.nlm.nih.gov/36470529/</x:v>
      </x:c>
      <x:c r="F22" s="27" t="str">
        <x:v>ulcerative_colitis; crohns_disease; ibd_general</x:v>
      </x:c>
      <x:c r="G22" s="27" t="str">
        <x:v>general_or_unspecified</x:v>
      </x:c>
      <x:c r="H22" s="27" t="str">
        <x:v>dietary_patterns</x:v>
      </x:c>
      <x:c r="I22" s="27" t="str">
        <x:v>nutritional_status</x:v>
      </x:c>
      <x:c r="J22" s="27" t="str">
        <x:v>The Mediterranean diet was similar to the Specific Carbohydrate Diet (low certainty of evidence), and partial enteral nutrition (PEN) was similar to exclusive enteral nutrition (very low certainty of evidence).</x:v>
      </x:c>
      <x:c r="K22" s="27" t="str">
        <x:v>In plain terms, the source reports: The Mediterranean diet was similar to the Specific Carbohydrate Diet (low certainty of evidence), and partial enteral nutrition (PEN) was similar to exclusive enteral nutrition (very low certainty of evidence).</x:v>
      </x:c>
      <x:c r="L22" s="27" t="str">
        <x:v>Background explanation with source citation and explicit uncertainty; never personalized diagnosis or treatment advice.</x:v>
      </x:c>
      <x:c r="M22" s="27" t="str">
        <x:v>The Mediterranean diet was similar to the Specific Carbohydrate Diet (low certainty of evidence), and partial enteral nutrition (PEN) was similar to exclusive enteral nutrition (very low certainty of evidence).</x:v>
      </x:c>
      <x:c r="N22" s="27" t="str">
        <x:v>PubMed abstract</x:v>
      </x:c>
      <x:c r="O22" s="27" t="str"/>
      <x:c r="P22" s="27" t="str">
        <x:v>meta_analysis</x:v>
      </x:c>
      <x:c r="Q22" s="27" t="str">
        <x:v>meta-analysis</x:v>
      </x:c>
      <x:c r="R22" s="27" t="str">
        <x:v>People with IBD or source-defined population; details require full-text review</x:v>
      </x:c>
      <x:c r="S22" s="27" t="str">
        <x:v>Not reported in extracted metadata</x:v>
      </x:c>
      <x:c r="T22" s="27" t="str">
        <x:v>Not reported in abstract</x:v>
      </x:c>
      <x:c r="U22" s="27" t="str">
        <x:v>Diet, nutrition, or lifestyle exposure/intervention as specified by the source</x:v>
      </x:c>
      <x:c r="V22" s="27" t="str">
        <x:v>As specified by the source; not always reported in the abstract</x:v>
      </x:c>
      <x:c r="W22" s="27" t="str">
        <x:v>disease activity or topic-specific outcome as reported</x:v>
      </x:c>
      <x:c r="X22" s="27" t="str">
        <x:v>Automated metadata and passage extraction; full methods and tables require human review. Abstract-only record limits appraisal.</x:v>
      </x:c>
      <x:c r="Y22" s="27" t="str">
        <x:v>Region was not clearly North American; practical transferability requires local dietetic and healthcare context.</x:v>
      </x:c>
      <x:c r="Z22" s="27" t="str">
        <x:v>Scientifically relevant to Canada/US if disease context and intervention are comparable; food availability, cuisine, fortification, cost, cultural fit, and healthcare delivery may differ.</x:v>
      </x:c>
      <x:c r="AA22" s="27" t="str">
        <x:v>moderate</x:v>
      </x:c>
      <x:c r="AB22" s="27" t="str">
        <x:v>deterministic sentence selection</x:v>
      </x:c>
      <x:c r="AC22" s="27" t="str">
        <x:v>pending_human_review</x:v>
      </x:c>
      <x:c r="AD22" s="27" t="str">
        <x:v>wording_revision_recommended</x:v>
      </x:c>
      <x:c r="AE22" s="27" t="str">
        <x:v>The Mediterranean diet was similar to the Specific Carbohydrate Diet (low certainty of evidence), and partial enteral nutrition (PEN) was similar to exclusive enteral nutrition (very low certainty of evidence).</x:v>
      </x:c>
      <x:c r="AF22" s="27" t="str">
        <x:v>The cited source reports that the Mediterranean diet was similar to the Specific Carbohydrate Diet (low certainty of evidence), and partial enteral nutrition (PEN) was similar to exclusive enteral nutrition (very low certainty of evidence).</x:v>
      </x:c>
      <x:c r="AG22" s="27" t="str">
        <x:v>Narrow the wording to the exact passage and retain the source's limitations and uncertainty.</x:v>
      </x:c>
      <x:c r="AH22" s="27" t="str">
        <x:v>verified_against_public_abstract</x:v>
      </x:c>
      <x:c r="AI22" s="27" t="str"/>
      <x:c r="AJ22" s="27" t="str">
        <x:v>Review the proposed wording and approve only if the source, population, disease state, and outcome limitation are acceptable.</x:v>
      </x:c>
      <x:c r="AK22" s="30" t="str"/>
      <x:c r="AL22" s="30" t="str"/>
      <x:c r="AM22" s="30" t="str"/>
    </x:row>
    <x:row r="23" ht="96" customHeight="1">
      <x:c r="A23" s="27" t="str">
        <x:v>CLM-019</x:v>
      </x:c>
      <x:c r="B23" s="27" t="str">
        <x:v>SRC-005</x:v>
      </x:c>
      <x:c r="C23" s="27" t="str">
        <x:v>Dietary Interventions for the Treatment of Inflammatory Bowel Diseases: An Updated Systematic Review and Meta-analysis.</x:v>
      </x:c>
      <x:c r="D23" s="27" t="str">
        <x:v>review</x:v>
      </x:c>
      <x:c r="E23" s="27" t="str">
        <x:v>https://pubmed.ncbi.nlm.nih.gov/36470529/</x:v>
      </x:c>
      <x:c r="F23" s="27" t="str">
        <x:v>ulcerative_colitis; crohns_disease; ibd_general</x:v>
      </x:c>
      <x:c r="G23" s="27" t="str">
        <x:v>general_or_unspecified</x:v>
      </x:c>
      <x:c r="H23" s="27" t="str">
        <x:v>red_processed_meat</x:v>
      </x:c>
      <x:c r="I23" s="27" t="str">
        <x:v>relapse_risk</x:v>
      </x:c>
      <x:c r="J23" s="27" t="str">
        <x:v>PEN reduced risk of relapse (very low certainty of evidence), whereas reduction of red meat or refined carbohydrates did not (low certainty of evidence).</x:v>
      </x:c>
      <x:c r="K23" s="27" t="str">
        <x:v>In plain terms, the source reports: PEN reduced risk of relapse (very low certainty of evidence), whereas reduction of red meat or refined carbohydrates did not (low certainty of evidence).</x:v>
      </x:c>
      <x:c r="L23" s="27" t="str">
        <x:v>Background explanation with source citation and explicit uncertainty; never personalized diagnosis or treatment advice.</x:v>
      </x:c>
      <x:c r="M23" s="27" t="str">
        <x:v>PEN reduced risk of relapse (very low certainty of evidence), whereas reduction of red meat or refined carbohydrates did not (low certainty of evidence).</x:v>
      </x:c>
      <x:c r="N23" s="27" t="str">
        <x:v>PubMed abstract</x:v>
      </x:c>
      <x:c r="O23" s="27" t="str"/>
      <x:c r="P23" s="27" t="str">
        <x:v>meta_analysis</x:v>
      </x:c>
      <x:c r="Q23" s="27" t="str">
        <x:v>meta-analysis</x:v>
      </x:c>
      <x:c r="R23" s="27" t="str">
        <x:v>People with IBD or source-defined population; details require full-text review</x:v>
      </x:c>
      <x:c r="S23" s="27" t="str">
        <x:v>Not reported in extracted metadata</x:v>
      </x:c>
      <x:c r="T23" s="27" t="str">
        <x:v>Not reported in abstract</x:v>
      </x:c>
      <x:c r="U23" s="27" t="str">
        <x:v>Diet, nutrition, or lifestyle exposure/intervention as specified by the source</x:v>
      </x:c>
      <x:c r="V23" s="27" t="str">
        <x:v>As specified by the source; not always reported in the abstract</x:v>
      </x:c>
      <x:c r="W23" s="27" t="str">
        <x:v>relapse risk</x:v>
      </x:c>
      <x:c r="X23" s="27" t="str">
        <x:v>Automated metadata and passage extraction; full methods and tables require human review. Abstract-only record limits appraisal.</x:v>
      </x:c>
      <x:c r="Y23" s="27" t="str">
        <x:v>Region was not clearly North American; practical transferability requires local dietetic and healthcare context.</x:v>
      </x:c>
      <x:c r="Z23" s="27" t="str">
        <x:v>Scientifically relevant to Canada/US if disease context and intervention are comparable; food availability, cuisine, fortification, cost, cultural fit, and healthcare delivery may differ.</x:v>
      </x:c>
      <x:c r="AA23" s="27" t="str">
        <x:v>moderate</x:v>
      </x:c>
      <x:c r="AB23" s="27" t="str">
        <x:v>deterministic sentence selection</x:v>
      </x:c>
      <x:c r="AC23" s="27" t="str">
        <x:v>pending_human_review</x:v>
      </x:c>
      <x:c r="AD23" s="27" t="str">
        <x:v>wording_revision_recommended</x:v>
      </x:c>
      <x:c r="AE23" s="27" t="str">
        <x:v>PEN reduced risk of relapse (very low certainty of evidence), whereas reduction of red meat or refined carbohydrates did not (low certainty of evidence).</x:v>
      </x:c>
      <x:c r="AF23" s="27"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AG23" s="27" t="str">
        <x:v>Keep the observational or incidence framing explicit; do not convert association into causal or individual disease-course advice.</x:v>
      </x:c>
      <x:c r="AH23" s="27" t="str">
        <x:v>verified_against_public_abstract</x:v>
      </x:c>
      <x:c r="AI23" s="27" t="str"/>
      <x:c r="AJ23" s="27" t="str">
        <x:v>Review the proposed wording and approve only if the source, population, disease state, and outcome limitation are acceptable.</x:v>
      </x:c>
      <x:c r="AK23" s="30" t="str"/>
      <x:c r="AL23" s="30" t="str"/>
      <x:c r="AM23" s="30" t="str"/>
    </x:row>
    <x:row r="24" ht="96" customHeight="1">
      <x:c r="A24" s="27" t="str">
        <x:v>CLM-020</x:v>
      </x:c>
      <x:c r="B24" s="27" t="str">
        <x:v>SRC-005</x:v>
      </x:c>
      <x:c r="C24" s="27" t="str">
        <x:v>Dietary Interventions for the Treatment of Inflammatory Bowel Diseases: An Updated Systematic Review and Meta-analysis.</x:v>
      </x:c>
      <x:c r="D24" s="27" t="str">
        <x:v>review</x:v>
      </x:c>
      <x:c r="E24" s="27" t="str">
        <x:v>https://pubmed.ncbi.nlm.nih.gov/36470529/</x:v>
      </x:c>
      <x:c r="F24" s="27" t="str">
        <x:v>ibd_general</x:v>
      </x:c>
      <x:c r="G24" s="27" t="str">
        <x:v>general_or_unspecified</x:v>
      </x:c>
      <x:c r="H24" s="27" t="str">
        <x:v>core_condition_knowledge</x:v>
      </x:c>
      <x:c r="I24" s="27" t="str">
        <x:v>inflammation</x:v>
      </x:c>
      <x:c r="J24" s="27" t="str">
        <x:v>BACKGROUND &amp; AIMS: This study aimed (1) to systematically review controlled trials of solid food diets for the treatment of inflammatory bowel disease (IBD); and (2) to grade the overall quality of evidence.</x:v>
      </x:c>
      <x:c r="K24" s="27" t="str">
        <x:v>In plain terms, the source reports: BACKGROUND &amp; AIMS: This study aimed (1) to systematically review controlled trials of solid food diets for the treatment of inflammatory bowel disease (inflammatory bowel disease); and (2) to grade the overall quality of evidence.</x:v>
      </x:c>
      <x:c r="L24" s="27" t="str">
        <x:v>Background explanation with source citation and explicit uncertainty; never personalized diagnosis or treatment advice.</x:v>
      </x:c>
      <x:c r="M24" s="27" t="str">
        <x:v>BACKGROUND &amp; AIMS: This study aimed (1) to systematically review controlled trials of solid food diets for the treatment of inflammatory bowel disease (IBD); and (2) to grade the overall quality of evidence.</x:v>
      </x:c>
      <x:c r="N24" s="27" t="str">
        <x:v>PubMed abstract</x:v>
      </x:c>
      <x:c r="O24" s="27" t="str"/>
      <x:c r="P24" s="27" t="str">
        <x:v>meta_analysis</x:v>
      </x:c>
      <x:c r="Q24" s="27" t="str">
        <x:v>meta-analysis</x:v>
      </x:c>
      <x:c r="R24" s="27" t="str">
        <x:v>People with IBD or source-defined population; details require full-text review</x:v>
      </x:c>
      <x:c r="S24" s="27" t="str">
        <x:v>Not reported in extracted metadata</x:v>
      </x:c>
      <x:c r="T24" s="27" t="str">
        <x:v>Not reported in abstract</x:v>
      </x:c>
      <x:c r="U24" s="27" t="str">
        <x:v>Diet, nutrition, or lifestyle exposure/intervention as specified by the source</x:v>
      </x:c>
      <x:c r="V24" s="27" t="str">
        <x:v>As specified by the source; not always reported in the abstract</x:v>
      </x:c>
      <x:c r="W24" s="27" t="str">
        <x:v>disease activity or topic-specific outcome as reported</x:v>
      </x:c>
      <x:c r="X24" s="27" t="str">
        <x:v>Automated metadata and passage extraction; full methods and tables require human review. Abstract-only record limits appraisal.</x:v>
      </x:c>
      <x:c r="Y24" s="27" t="str">
        <x:v>Region was not clearly North American; practical transferability requires local dietetic and healthcare context.</x:v>
      </x:c>
      <x:c r="Z24" s="27" t="str">
        <x:v>Scientifically relevant to Canada/US if disease context and intervention are comparable; food availability, cuisine, fortification, cost, cultural fit, and healthcare delivery may differ.</x:v>
      </x:c>
      <x:c r="AA24" s="27" t="str">
        <x:v>moderate</x:v>
      </x:c>
      <x:c r="AB24" s="27" t="str">
        <x:v>deterministic sentence selection</x:v>
      </x:c>
      <x:c r="AC24" s="27" t="str">
        <x:v>pending_human_review</x:v>
      </x:c>
      <x:c r="AD24" s="27" t="str">
        <x:v>reject_recommended</x:v>
      </x:c>
      <x:c r="AE24" s="27" t="str">
        <x:v>BACKGROUND &amp; AIMS: This study aimed (1) to systematically review controlled trials of solid food diets for the treatment of inflammatory bowel disease (IBD); and (2) to grade the overall quality of evidence.</x:v>
      </x:c>
      <x:c r="AF24" s="27" t="str"/>
      <x:c r="AG24" s="27" t="str">
        <x:v>This is a methods, background, sample-description, vague, or non-actionable sentence rather than a safe atomic evidence claim; or it falls outside the product's non-diagnostic, non-treatment scope.</x:v>
      </x:c>
      <x:c r="AH24" s="27" t="str">
        <x:v>verified_against_public_abstract</x:v>
      </x:c>
      <x:c r="AI24" s="27" t="str"/>
      <x:c r="AJ24" s="27" t="str">
        <x:v>Reject unless a reviewer identifies a distinct, directly supported informational use.</x:v>
      </x:c>
      <x:c r="AK24" s="30" t="str"/>
      <x:c r="AL24" s="30" t="str"/>
      <x:c r="AM24" s="30" t="str"/>
    </x:row>
    <x:row r="25" ht="96" customHeight="1">
      <x:c r="A25" s="27" t="str">
        <x:v>CLM-021</x:v>
      </x:c>
      <x:c r="B25" s="27" t="str">
        <x:v>SRC-006</x:v>
      </x:c>
      <x:c r="C25" s="27" t="str">
        <x:v>Dietary fat is associated with increased inflammatory bowel disease onset risk: a systematic review and dose-response meta-analysis.</x:v>
      </x:c>
      <x:c r="D25" s="27" t="str">
        <x:v>review</x:v>
      </x:c>
      <x:c r="E25" s="27" t="str">
        <x:v>https://pubmed.ncbi.nlm.nih.gov/40844310/</x:v>
      </x:c>
      <x:c r="F25" s="27" t="str">
        <x:v>ibd_general</x:v>
      </x:c>
      <x:c r="G25" s="27" t="str">
        <x:v>general_or_unspecified</x:v>
      </x:c>
      <x:c r="H25" s="27" t="str">
        <x:v>core_condition_knowledge</x:v>
      </x:c>
      <x:c r="I25" s="27" t="str">
        <x:v>disease_activity</x:v>
      </x:c>
      <x:c r="J25" s="27" t="str">
        <x:v>RESULTS: High fat intake (RR = 1.24, 95% CI = 1.03-1.49) was modestly associated with increased IBD onset risk.</x:v>
      </x:c>
      <x:c r="K25" s="27" t="str">
        <x:v>In plain terms, the source reports: RESULTS: High fat intake (RR = 1.24, 95% CI = 1.03-1.49) was modestly associated with increased inflammatory bowel disease onset risk.</x:v>
      </x:c>
      <x:c r="L25" s="27" t="str">
        <x:v>Background explanation with source citation and explicit uncertainty; never personalized diagnosis or treatment advice.</x:v>
      </x:c>
      <x:c r="M25" s="27" t="str">
        <x:v>RESULTS: High fat intake (RR = 1.24, 95% CI = 1.03-1.49) was modestly associated with increased IBD onset risk.</x:v>
      </x:c>
      <x:c r="N25" s="27" t="str">
        <x:v>PubMed abstract</x:v>
      </x:c>
      <x:c r="O25" s="27" t="str"/>
      <x:c r="P25" s="27" t="str">
        <x:v>meta_analysis</x:v>
      </x:c>
      <x:c r="Q25" s="27" t="str">
        <x:v>meta-analysis</x:v>
      </x:c>
      <x:c r="R25" s="27" t="str">
        <x:v>People with IBD or source-defined population; details require full-text review</x:v>
      </x:c>
      <x:c r="S25" s="27" t="str">
        <x:v>Not reported in extracted metadata</x:v>
      </x:c>
      <x:c r="T25" s="27" t="str">
        <x:v>Not reported in abstract</x:v>
      </x:c>
      <x:c r="U25" s="27" t="str">
        <x:v>Diet, nutrition, or lifestyle exposure/intervention as specified by the source</x:v>
      </x:c>
      <x:c r="V25" s="27" t="str">
        <x:v>As specified by the source; not always reported in the abstract</x:v>
      </x:c>
      <x:c r="W25" s="27" t="str">
        <x:v>disease activity or topic-specific outcome as reported</x:v>
      </x:c>
      <x:c r="X25" s="27" t="str">
        <x:v>Automated metadata and passage extraction; full methods and tables require human review. Public full text available for deeper review.</x:v>
      </x:c>
      <x:c r="Y25" s="27" t="str">
        <x:v>Region was not clearly North American; practical transferability requires local dietetic and healthcare context.</x:v>
      </x:c>
      <x:c r="Z25" s="27" t="str">
        <x:v>Scientifically relevant to Canada/US if disease context and intervention are comparable; food availability, cuisine, fortification, cost, cultural fit, and healthcare delivery may differ.</x:v>
      </x:c>
      <x:c r="AA25" s="27" t="str">
        <x:v>high</x:v>
      </x:c>
      <x:c r="AB25" s="27" t="str">
        <x:v>deterministic sentence selection</x:v>
      </x:c>
      <x:c r="AC25" s="27" t="str">
        <x:v>pending_human_review</x:v>
      </x:c>
      <x:c r="AD25" s="27" t="str">
        <x:v>wording_revision_recommended</x:v>
      </x:c>
      <x:c r="AE25" s="27" t="str">
        <x:v>RESULTS: High fat intake (RR = 1.24, 95% CI = 1.03-1.49) was modestly associated with increased IBD onset risk.</x:v>
      </x:c>
      <x:c r="AF25" s="27" t="str">
        <x:v>The cited source reports that high fat intake (RR = 1.24, 95% CI = 1.03-1.49) was modestly associated with increased IBD onset risk. This is population-level association evidence and does not establish causation or predict an individual's disease course.</x:v>
      </x:c>
      <x:c r="AG25" s="27" t="str">
        <x:v>Keep the observational or incidence framing explicit; do not convert association into causal or individual disease-course advice.</x:v>
      </x:c>
      <x:c r="AH25" s="27" t="str">
        <x:v>verified_against_public_abstract</x:v>
      </x:c>
      <x:c r="AI25" s="27" t="str"/>
      <x:c r="AJ25" s="27" t="str">
        <x:v>Review the proposed wording and approve only if the source, population, disease state, and outcome limitation are acceptable.</x:v>
      </x:c>
      <x:c r="AK25" s="30" t="str"/>
      <x:c r="AL25" s="30" t="str"/>
      <x:c r="AM25" s="30" t="str"/>
    </x:row>
    <x:row r="26" ht="96" customHeight="1">
      <x:c r="A26" s="27" t="str">
        <x:v>CLM-022</x:v>
      </x:c>
      <x:c r="B26" s="27" t="str">
        <x:v>SRC-006</x:v>
      </x:c>
      <x:c r="C26" s="27" t="str">
        <x:v>Dietary fat is associated with increased inflammatory bowel disease onset risk: a systematic review and dose-response meta-analysis.</x:v>
      </x:c>
      <x:c r="D26" s="27" t="str">
        <x:v>review</x:v>
      </x:c>
      <x:c r="E26" s="27" t="str">
        <x:v>https://pubmed.ncbi.nlm.nih.gov/40844310/</x:v>
      </x:c>
      <x:c r="F26" s="27" t="str">
        <x:v>ibd_general</x:v>
      </x:c>
      <x:c r="G26" s="27" t="str">
        <x:v>general_or_unspecified</x:v>
      </x:c>
      <x:c r="H26" s="27" t="str">
        <x:v>core_condition_knowledge</x:v>
      </x:c>
      <x:c r="I26" s="27" t="str">
        <x:v>disease_activity</x:v>
      </x:c>
      <x:c r="J26"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K26" s="27" t="str">
        <x:v>In plain terms, the source reports: Subgroup analyses and meta-regression indicated that Asian (RR = 2.15, 95% CI = 1.46-3.16, Psubgroup &lt; 0.01), high-male-proportion (RR = 1.91, 95% CI = 1.32-2.78, Psubgroup &lt; 0.01) and young (RR = 2.67, 95% CI = 1.80-3.96, Psubgroup &lt; 0.01) populations were more susceptible to fat-associated inflammatory bowel disease, and positive dose‒response associations were also confirmed in these populations.</x:v>
      </x:c>
      <x:c r="L26" s="27" t="str">
        <x:v>Background explanation with source citation and explicit uncertainty; never personalized diagnosis or treatment advice.</x:v>
      </x:c>
      <x:c r="M26"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N26" s="27" t="str">
        <x:v>PubMed abstract</x:v>
      </x:c>
      <x:c r="O26" s="27" t="str"/>
      <x:c r="P26" s="27" t="str">
        <x:v>meta_analysis</x:v>
      </x:c>
      <x:c r="Q26" s="27" t="str">
        <x:v>meta-analysis</x:v>
      </x:c>
      <x:c r="R26" s="27" t="str">
        <x:v>People with IBD or source-defined population; details require full-text review</x:v>
      </x:c>
      <x:c r="S26" s="27" t="str">
        <x:v>Not reported in extracted metadata</x:v>
      </x:c>
      <x:c r="T26" s="27" t="str">
        <x:v>Not reported in abstract</x:v>
      </x:c>
      <x:c r="U26" s="27" t="str">
        <x:v>Diet, nutrition, or lifestyle exposure/intervention as specified by the source</x:v>
      </x:c>
      <x:c r="V26" s="27" t="str">
        <x:v>As specified by the source; not always reported in the abstract</x:v>
      </x:c>
      <x:c r="W26" s="27" t="str">
        <x:v>disease activity or topic-specific outcome as reported</x:v>
      </x:c>
      <x:c r="X26" s="27" t="str">
        <x:v>Automated metadata and passage extraction; full methods and tables require human review. Public full text available for deeper review.</x:v>
      </x:c>
      <x:c r="Y26" s="27" t="str">
        <x:v>Region was not clearly North American; practical transferability requires local dietetic and healthcare context.</x:v>
      </x:c>
      <x:c r="Z26" s="27" t="str">
        <x:v>Scientifically relevant to Canada/US if disease context and intervention are comparable; food availability, cuisine, fortification, cost, cultural fit, and healthcare delivery may differ.</x:v>
      </x:c>
      <x:c r="AA26" s="27" t="str">
        <x:v>high</x:v>
      </x:c>
      <x:c r="AB26" s="27" t="str">
        <x:v>deterministic sentence selection</x:v>
      </x:c>
      <x:c r="AC26" s="27" t="str">
        <x:v>pending_human_review</x:v>
      </x:c>
      <x:c r="AD26" s="27" t="str">
        <x:v>wording_revision_recommended</x:v>
      </x:c>
      <x:c r="AE26"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AF26" s="27"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AG26" s="27" t="str">
        <x:v>Keep the observational or incidence framing explicit; do not convert association into causal or individual disease-course advice.</x:v>
      </x:c>
      <x:c r="AH26" s="27" t="str">
        <x:v>verified_against_public_abstract</x:v>
      </x:c>
      <x:c r="AI26" s="27" t="str"/>
      <x:c r="AJ26" s="27" t="str">
        <x:v>Review the proposed wording and approve only if the source, population, disease state, and outcome limitation are acceptable.</x:v>
      </x:c>
      <x:c r="AK26" s="30" t="str"/>
      <x:c r="AL26" s="30" t="str"/>
      <x:c r="AM26" s="30" t="str"/>
    </x:row>
    <x:row r="27" ht="96" customHeight="1">
      <x:c r="A27" s="27" t="str">
        <x:v>CLM-023</x:v>
      </x:c>
      <x:c r="B27" s="27" t="str">
        <x:v>SRC-006</x:v>
      </x:c>
      <x:c r="C27" s="27" t="str">
        <x:v>Dietary fat is associated with increased inflammatory bowel disease onset risk: a systematic review and dose-response meta-analysis.</x:v>
      </x:c>
      <x:c r="D27" s="27" t="str">
        <x:v>review</x:v>
      </x:c>
      <x:c r="E27" s="27" t="str">
        <x:v>https://pubmed.ncbi.nlm.nih.gov/40844310/</x:v>
      </x:c>
      <x:c r="F27" s="27" t="str">
        <x:v>ibd_general</x:v>
      </x:c>
      <x:c r="G27" s="27" t="str">
        <x:v>general_or_unspecified</x:v>
      </x:c>
      <x:c r="H27" s="27" t="str">
        <x:v>core_condition_knowledge</x:v>
      </x:c>
      <x:c r="I27" s="27" t="str">
        <x:v>disease_activity</x:v>
      </x:c>
      <x:c r="J27"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K27" s="27" t="str">
        <x:v>In plain terms, the source reports: Both the highest-versus-lowest and dose‒response analyses revealed that polyunsaturated fatty acids (PUFAs) (RR = 1.34, 95% CI = 1.10-1.63; Pnonlinearity &lt; 0.05; per 10 g/day RR = 1.39) and cholesterol (RR = 1.52, 95% CI = 1.09-2.12; Pnonlinearity = 0.03; per 0.1 g/day RR = 1.17) were associated with increased inflammatory bowel disease onset risk, whereas long-chain n-3 PUFA (LCN-n-3, RR = 0.74, 95% CI =...</x:v>
      </x:c>
      <x:c r="L27" s="27" t="str">
        <x:v>Background explanation with source citation and explicit uncertainty; never personalized diagnosis or treatment advice.</x:v>
      </x:c>
      <x:c r="M27"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N27" s="27" t="str">
        <x:v>PubMed abstract</x:v>
      </x:c>
      <x:c r="O27" s="27" t="str"/>
      <x:c r="P27" s="27" t="str">
        <x:v>meta_analysis</x:v>
      </x:c>
      <x:c r="Q27" s="27" t="str">
        <x:v>meta-analysis</x:v>
      </x:c>
      <x:c r="R27" s="27" t="str">
        <x:v>People with IBD or source-defined population; details require full-text review</x:v>
      </x:c>
      <x:c r="S27" s="27" t="str">
        <x:v>Not reported in extracted metadata</x:v>
      </x:c>
      <x:c r="T27" s="27" t="str">
        <x:v>Not reported in abstract</x:v>
      </x:c>
      <x:c r="U27" s="27" t="str">
        <x:v>Diet, nutrition, or lifestyle exposure/intervention as specified by the source</x:v>
      </x:c>
      <x:c r="V27" s="27" t="str">
        <x:v>As specified by the source; not always reported in the abstract</x:v>
      </x:c>
      <x:c r="W27" s="27" t="str">
        <x:v>disease activity or topic-specific outcome as reported</x:v>
      </x:c>
      <x:c r="X27" s="27" t="str">
        <x:v>Automated metadata and passage extraction; full methods and tables require human review. Public full text available for deeper review.</x:v>
      </x:c>
      <x:c r="Y27" s="27" t="str">
        <x:v>Region was not clearly North American; practical transferability requires local dietetic and healthcare context.</x:v>
      </x:c>
      <x:c r="Z27" s="27" t="str">
        <x:v>Scientifically relevant to Canada/US if disease context and intervention are comparable; food availability, cuisine, fortification, cost, cultural fit, and healthcare delivery may differ.</x:v>
      </x:c>
      <x:c r="AA27" s="27" t="str">
        <x:v>high</x:v>
      </x:c>
      <x:c r="AB27" s="27" t="str">
        <x:v>deterministic sentence selection</x:v>
      </x:c>
      <x:c r="AC27" s="27" t="str">
        <x:v>pending_human_review</x:v>
      </x:c>
      <x:c r="AD27" s="27" t="str">
        <x:v>wording_revision_recommended</x:v>
      </x:c>
      <x:c r="AE27"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AF27" s="27"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AG27" s="27" t="str">
        <x:v>Keep the observational or incidence framing explicit; do not convert association into causal or individual disease-course advice.</x:v>
      </x:c>
      <x:c r="AH27" s="27" t="str">
        <x:v>verified_against_public_abstract</x:v>
      </x:c>
      <x:c r="AI27" s="27" t="str"/>
      <x:c r="AJ27" s="27" t="str">
        <x:v>Review the proposed wording and approve only if the source, population, disease state, and outcome limitation are acceptable.</x:v>
      </x:c>
      <x:c r="AK27" s="30" t="str"/>
      <x:c r="AL27" s="30" t="str"/>
      <x:c r="AM27" s="30" t="str"/>
    </x:row>
    <x:row r="28" ht="96" customHeight="1">
      <x:c r="A28" s="27" t="str">
        <x:v>CLM-024</x:v>
      </x:c>
      <x:c r="B28" s="27" t="str">
        <x:v>SRC-006</x:v>
      </x:c>
      <x:c r="C28" s="27" t="str">
        <x:v>Dietary fat is associated with increased inflammatory bowel disease onset risk: a systematic review and dose-response meta-analysis.</x:v>
      </x:c>
      <x:c r="D28" s="27" t="str">
        <x:v>review</x:v>
      </x:c>
      <x:c r="E28" s="27" t="str">
        <x:v>https://pubmed.ncbi.nlm.nih.gov/40844310/</x:v>
      </x:c>
      <x:c r="F28" s="27" t="str">
        <x:v>ibd_general</x:v>
      </x:c>
      <x:c r="G28" s="27" t="str">
        <x:v>general_or_unspecified</x:v>
      </x:c>
      <x:c r="H28" s="27" t="str">
        <x:v>core_condition_knowledge</x:v>
      </x:c>
      <x:c r="I28" s="27" t="str">
        <x:v>disease_activity</x:v>
      </x:c>
      <x:c r="J28" s="27" t="str">
        <x:v>CONCLUSIONS: Higher fat intake might be modestly associated with increased IBD onset risk, particularly for PUFA and cholesterol, whereas LCN-n-3 and a high n3/n6-PUFA ratio may offer protective effects against IBD onset.</x:v>
      </x:c>
      <x:c r="K28" s="27" t="str">
        <x:v>In plain terms, the source reports: CONCLUSIONS: Higher fat intake might be modestly associated with increased inflammatory bowel disease onset risk, particularly for PUFA and cholesterol, whereas LCN-n-3 and a high n3/n6-PUFA ratio may offer protective effects against inflammatory bowel disease onset.</x:v>
      </x:c>
      <x:c r="L28" s="27" t="str">
        <x:v>Background explanation with source citation and explicit uncertainty; never personalized diagnosis or treatment advice.</x:v>
      </x:c>
      <x:c r="M28" s="27" t="str">
        <x:v>CONCLUSIONS: Higher fat intake might be modestly associated with increased IBD onset risk, particularly for PUFA and cholesterol, whereas LCN-n-3 and a high n3/n6-PUFA ratio may offer protective effects against IBD onset.</x:v>
      </x:c>
      <x:c r="N28" s="27" t="str">
        <x:v>PubMed abstract</x:v>
      </x:c>
      <x:c r="O28" s="27" t="str"/>
      <x:c r="P28" s="27" t="str">
        <x:v>meta_analysis</x:v>
      </x:c>
      <x:c r="Q28" s="27" t="str">
        <x:v>meta-analysis</x:v>
      </x:c>
      <x:c r="R28" s="27" t="str">
        <x:v>People with IBD or source-defined population; details require full-text review</x:v>
      </x:c>
      <x:c r="S28" s="27" t="str">
        <x:v>Not reported in extracted metadata</x:v>
      </x:c>
      <x:c r="T28" s="27" t="str">
        <x:v>Not reported in abstract</x:v>
      </x:c>
      <x:c r="U28" s="27" t="str">
        <x:v>Diet, nutrition, or lifestyle exposure/intervention as specified by the source</x:v>
      </x:c>
      <x:c r="V28" s="27" t="str">
        <x:v>As specified by the source; not always reported in the abstract</x:v>
      </x:c>
      <x:c r="W28" s="27" t="str">
        <x:v>disease activity or topic-specific outcome as reported</x:v>
      </x:c>
      <x:c r="X28" s="27" t="str">
        <x:v>Automated metadata and passage extraction; full methods and tables require human review. Public full text available for deeper review.</x:v>
      </x:c>
      <x:c r="Y28" s="27" t="str">
        <x:v>Region was not clearly North American; practical transferability requires local dietetic and healthcare context.</x:v>
      </x:c>
      <x:c r="Z28" s="27" t="str">
        <x:v>Scientifically relevant to Canada/US if disease context and intervention are comparable; food availability, cuisine, fortification, cost, cultural fit, and healthcare delivery may differ.</x:v>
      </x:c>
      <x:c r="AA28" s="27" t="str">
        <x:v>high</x:v>
      </x:c>
      <x:c r="AB28" s="27" t="str">
        <x:v>deterministic sentence selection</x:v>
      </x:c>
      <x:c r="AC28" s="27" t="str">
        <x:v>pending_human_review</x:v>
      </x:c>
      <x:c r="AD28" s="27" t="str">
        <x:v>wording_revision_recommended</x:v>
      </x:c>
      <x:c r="AE28" s="27" t="str">
        <x:v>CONCLUSIONS: Higher fat intake might be modestly associated with increased IBD onset risk, particularly for PUFA and cholesterol, whereas LCN-n-3 and a high n3/n6-PUFA ratio may offer protective effects against IBD onset.</x:v>
      </x:c>
      <x:c r="AF28" s="27"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AG28" s="27" t="str">
        <x:v>Keep the observational or incidence framing explicit; do not convert association into causal or individual disease-course advice.</x:v>
      </x:c>
      <x:c r="AH28" s="27" t="str">
        <x:v>verified_against_public_abstract</x:v>
      </x:c>
      <x:c r="AI28" s="27" t="str"/>
      <x:c r="AJ28" s="27" t="str">
        <x:v>Review the proposed wording and approve only if the source, population, disease state, and outcome limitation are acceptable.</x:v>
      </x:c>
      <x:c r="AK28" s="30" t="str"/>
      <x:c r="AL28" s="30" t="str"/>
      <x:c r="AM28" s="30" t="str"/>
    </x:row>
    <x:row r="29" ht="96" customHeight="1">
      <x:c r="A29" s="27" t="str">
        <x:v>CLM-025</x:v>
      </x:c>
      <x:c r="B29" s="27" t="str">
        <x:v>SRC-007</x:v>
      </x:c>
      <x:c r="C29" s="27" t="str">
        <x:v>Systematic review and meta-analysis of lactose digestion, its impact on intolerance and nutritional effects of dairy food restriction in inflammatory bowel diseases.</x:v>
      </x:c>
      <x:c r="D29" s="27" t="str">
        <x:v>review</x:v>
      </x:c>
      <x:c r="E29" s="27" t="str">
        <x:v>https://pubmed.ncbi.nlm.nih.gov/27411934/</x:v>
      </x:c>
      <x:c r="F29" s="27" t="str">
        <x:v>crohns_disease; ibd_general</x:v>
      </x:c>
      <x:c r="G29" s="27" t="str">
        <x:v>general_or_unspecified</x:v>
      </x:c>
      <x:c r="H29" s="27" t="str">
        <x:v>dairy_lactose</x:v>
      </x:c>
      <x:c r="I29" s="27" t="str">
        <x:v>disease_activity</x:v>
      </x:c>
      <x:c r="J29" s="27" t="str">
        <x:v>Of these 17 were included in meta-analysis which showed overall increased lactose maldigestion in both diseases.</x:v>
      </x:c>
      <x:c r="K29" s="27" t="str">
        <x:v>In plain terms, the source reports: Of these 17 were included in meta-analysis which showed overall increased lactose maldigestion in both diseases.</x:v>
      </x:c>
      <x:c r="L29" s="27" t="str">
        <x:v>Background explanation with source citation and explicit uncertainty; never personalized diagnosis or treatment advice.</x:v>
      </x:c>
      <x:c r="M29" s="27" t="str">
        <x:v>Of these 17 were included in meta-analysis which showed overall increased lactose maldigestion in both diseases.</x:v>
      </x:c>
      <x:c r="N29" s="27" t="str">
        <x:v>PubMed abstract</x:v>
      </x:c>
      <x:c r="O29" s="27" t="str"/>
      <x:c r="P29" s="27" t="str">
        <x:v>meta_analysis</x:v>
      </x:c>
      <x:c r="Q29" s="27" t="str">
        <x:v>meta-analysis</x:v>
      </x:c>
      <x:c r="R29" s="27" t="str">
        <x:v>People with IBD or source-defined population; details require full-text review</x:v>
      </x:c>
      <x:c r="S29" s="27" t="str">
        <x:v>Not reported in extracted metadata</x:v>
      </x:c>
      <x:c r="T29" s="27" t="str">
        <x:v>Not reported in abstract</x:v>
      </x:c>
      <x:c r="U29" s="27" t="str">
        <x:v>Diet, nutrition, or lifestyle exposure/intervention as specified by the source</x:v>
      </x:c>
      <x:c r="V29" s="27" t="str">
        <x:v>As specified by the source; not always reported in the abstract</x:v>
      </x:c>
      <x:c r="W29" s="27" t="str">
        <x:v>disease activity or topic-specific outcome as reported</x:v>
      </x:c>
      <x:c r="X29" s="27" t="str">
        <x:v>Automated metadata and passage extraction; full methods and tables require human review. Public full text available for deeper review.</x:v>
      </x:c>
      <x:c r="Y29" s="27" t="str">
        <x:v>Region was not clearly North American; practical transferability requires local dietetic and healthcare context.</x:v>
      </x:c>
      <x:c r="Z29" s="27" t="str">
        <x:v>Scientifically relevant to Canada/US if disease context and intervention are comparable; food availability, cuisine, fortification, cost, cultural fit, and healthcare delivery may differ.</x:v>
      </x:c>
      <x:c r="AA29" s="27" t="str">
        <x:v>high</x:v>
      </x:c>
      <x:c r="AB29" s="27" t="str">
        <x:v>deterministic sentence selection</x:v>
      </x:c>
      <x:c r="AC29" s="27" t="str">
        <x:v>pending_human_review</x:v>
      </x:c>
      <x:c r="AD29" s="27" t="str">
        <x:v>wording_revision_recommended</x:v>
      </x:c>
      <x:c r="AE29" s="27" t="str">
        <x:v>Of these 17 were included in meta-analysis which showed overall increased lactose maldigestion in both diseases.</x:v>
      </x:c>
      <x:c r="AF29" s="27" t="str">
        <x:v>The cited source reports that of these 17 were included in meta-analysis which showed overall increased lactose maldigestion in both diseases.</x:v>
      </x:c>
      <x:c r="AG29" s="27" t="str">
        <x:v>State the measured outcome precisely and avoid treating symptom change, biomarkers, and inflammation as interchangeable.</x:v>
      </x:c>
      <x:c r="AH29" s="27" t="str">
        <x:v>verified_against_public_abstract</x:v>
      </x:c>
      <x:c r="AI29" s="27" t="str"/>
      <x:c r="AJ29" s="27" t="str">
        <x:v>Review the proposed wording and approve only if the source, population, disease state, and outcome limitation are acceptable.</x:v>
      </x:c>
      <x:c r="AK29" s="30" t="str"/>
      <x:c r="AL29" s="30" t="str"/>
      <x:c r="AM29" s="30" t="str"/>
    </x:row>
    <x:row r="30" ht="96" customHeight="1">
      <x:c r="A30" s="27" t="str">
        <x:v>CLM-026</x:v>
      </x:c>
      <x:c r="B30" s="27" t="str">
        <x:v>SRC-007</x:v>
      </x:c>
      <x:c r="C30" s="27" t="str">
        <x:v>Systematic review and meta-analysis of lactose digestion, its impact on intolerance and nutritional effects of dairy food restriction in inflammatory bowel diseases.</x:v>
      </x:c>
      <x:c r="D30" s="27" t="str">
        <x:v>review</x:v>
      </x:c>
      <x:c r="E30" s="27" t="str">
        <x:v>https://pubmed.ncbi.nlm.nih.gov/27411934/</x:v>
      </x:c>
      <x:c r="F30" s="27" t="str">
        <x:v>ibd_general</x:v>
      </x:c>
      <x:c r="G30" s="27" t="str">
        <x:v>general_or_unspecified</x:v>
      </x:c>
      <x:c r="H30" s="27" t="str">
        <x:v>dairy_lactose</x:v>
      </x:c>
      <x:c r="I30" s="27" t="str">
        <x:v>inflammation</x:v>
      </x:c>
      <x:c r="J30" s="27" t="str">
        <x:v>CONCLUSIONS: Lactose maldigestion in inflammatory bowel disease is dependent on ethnic makeup of the population and usually not disease.</x:v>
      </x:c>
      <x:c r="K30" s="27" t="str">
        <x:v>In plain terms, the source reports: CONCLUSIONS: Lactose maldigestion in inflammatory bowel disease is dependent on ethnic makeup of the population and usually not disease.</x:v>
      </x:c>
      <x:c r="L30" s="27" t="str">
        <x:v>Background explanation with source citation and explicit uncertainty; never personalized diagnosis or treatment advice.</x:v>
      </x:c>
      <x:c r="M30" s="27" t="str">
        <x:v>CONCLUSIONS: Lactose maldigestion in inflammatory bowel disease is dependent on ethnic makeup of the population and usually not disease.</x:v>
      </x:c>
      <x:c r="N30" s="27" t="str">
        <x:v>PubMed abstract</x:v>
      </x:c>
      <x:c r="O30" s="27" t="str"/>
      <x:c r="P30" s="27" t="str">
        <x:v>meta_analysis</x:v>
      </x:c>
      <x:c r="Q30" s="27" t="str">
        <x:v>meta-analysis</x:v>
      </x:c>
      <x:c r="R30" s="27" t="str">
        <x:v>People with IBD or source-defined population; details require full-text review</x:v>
      </x:c>
      <x:c r="S30" s="27" t="str">
        <x:v>Not reported in extracted metadata</x:v>
      </x:c>
      <x:c r="T30" s="27" t="str">
        <x:v>Not reported in abstract</x:v>
      </x:c>
      <x:c r="U30" s="27" t="str">
        <x:v>Diet, nutrition, or lifestyle exposure/intervention as specified by the source</x:v>
      </x:c>
      <x:c r="V30" s="27" t="str">
        <x:v>As specified by the source; not always reported in the abstract</x:v>
      </x:c>
      <x:c r="W30" s="27" t="str">
        <x:v>disease activity or topic-specific outcome as reported</x:v>
      </x:c>
      <x:c r="X30" s="27" t="str">
        <x:v>Automated metadata and passage extraction; full methods and tables require human review. Public full text available for deeper review.</x:v>
      </x:c>
      <x:c r="Y30" s="27" t="str">
        <x:v>Region was not clearly North American; practical transferability requires local dietetic and healthcare context.</x:v>
      </x:c>
      <x:c r="Z30" s="27" t="str">
        <x:v>Scientifically relevant to Canada/US if disease context and intervention are comparable; food availability, cuisine, fortification, cost, cultural fit, and healthcare delivery may differ.</x:v>
      </x:c>
      <x:c r="AA30" s="27" t="str">
        <x:v>high</x:v>
      </x:c>
      <x:c r="AB30" s="27" t="str">
        <x:v>deterministic sentence selection</x:v>
      </x:c>
      <x:c r="AC30" s="27" t="str">
        <x:v>pending_human_review</x:v>
      </x:c>
      <x:c r="AD30" s="27" t="str">
        <x:v>wording_revision_recommended</x:v>
      </x:c>
      <x:c r="AE30" s="27" t="str">
        <x:v>CONCLUSIONS: Lactose maldigestion in inflammatory bowel disease is dependent on ethnic makeup of the population and usually not disease.</x:v>
      </x:c>
      <x:c r="AF30" s="27" t="str">
        <x:v>The cited source reports that lactose maldigestion in inflammatory bowel disease is dependent on ethnic makeup of the population and usually not disease. The specific measured marker or inflammatory outcome should remain explicit.</x:v>
      </x:c>
      <x:c r="AG30" s="27" t="str">
        <x:v>State the measured outcome precisely and avoid treating symptom change, biomarkers, and inflammation as interchangeable.</x:v>
      </x:c>
      <x:c r="AH30" s="27" t="str">
        <x:v>verified_against_public_abstract</x:v>
      </x:c>
      <x:c r="AI30" s="27" t="str"/>
      <x:c r="AJ30" s="27" t="str">
        <x:v>Review the proposed wording and approve only if the source, population, disease state, and outcome limitation are acceptable.</x:v>
      </x:c>
      <x:c r="AK30" s="30" t="str"/>
      <x:c r="AL30" s="30" t="str"/>
      <x:c r="AM30" s="30" t="str"/>
    </x:row>
    <x:row r="31" ht="96" customHeight="1">
      <x:c r="A31" s="27" t="str">
        <x:v>CLM-027</x:v>
      </x:c>
      <x:c r="B31" s="27" t="str">
        <x:v>SRC-007</x:v>
      </x:c>
      <x:c r="C31" s="27" t="str">
        <x:v>Systematic review and meta-analysis of lactose digestion, its impact on intolerance and nutritional effects of dairy food restriction in inflammatory bowel diseases.</x:v>
      </x:c>
      <x:c r="D31" s="27" t="str">
        <x:v>review</x:v>
      </x:c>
      <x:c r="E31" s="27" t="str">
        <x:v>https://pubmed.ncbi.nlm.nih.gov/27411934/</x:v>
      </x:c>
      <x:c r="F31" s="27" t="str">
        <x:v>crohns_disease; ibd_general</x:v>
      </x:c>
      <x:c r="G31" s="27" t="str">
        <x:v>general_or_unspecified</x:v>
      </x:c>
      <x:c r="H31" s="27" t="str">
        <x:v>core_condition_knowledge</x:v>
      </x:c>
      <x:c r="I31" s="27" t="str">
        <x:v>disease_activity</x:v>
      </x:c>
      <x:c r="J31" s="27" t="str">
        <x:v>RESULTS: A total of 1022 articles were evaluated, 35 articles were retained and 5 studies were added from review articles.</x:v>
      </x:c>
      <x:c r="K31" s="27" t="str">
        <x:v>In plain terms, the source reports: RESULTS: A total of 1022 articles were evaluated, 35 articles were retained and 5 studies were added from review articles.</x:v>
      </x:c>
      <x:c r="L31" s="27" t="str">
        <x:v>Background explanation with source citation and explicit uncertainty; never personalized diagnosis or treatment advice.</x:v>
      </x:c>
      <x:c r="M31" s="27" t="str">
        <x:v>RESULTS: A total of 1022 articles were evaluated, 35 articles were retained and 5 studies were added from review articles.</x:v>
      </x:c>
      <x:c r="N31" s="27" t="str">
        <x:v>PubMed abstract</x:v>
      </x:c>
      <x:c r="O31" s="27" t="str"/>
      <x:c r="P31" s="27" t="str">
        <x:v>meta_analysis</x:v>
      </x:c>
      <x:c r="Q31" s="27" t="str">
        <x:v>meta-analysis</x:v>
      </x:c>
      <x:c r="R31" s="27" t="str">
        <x:v>People with IBD or source-defined population; details require full-text review</x:v>
      </x:c>
      <x:c r="S31" s="27" t="str">
        <x:v>Not reported in extracted metadata</x:v>
      </x:c>
      <x:c r="T31" s="27" t="str">
        <x:v>Not reported in abstract</x:v>
      </x:c>
      <x:c r="U31" s="27" t="str">
        <x:v>Diet, nutrition, or lifestyle exposure/intervention as specified by the source</x:v>
      </x:c>
      <x:c r="V31" s="27" t="str">
        <x:v>As specified by the source; not always reported in the abstract</x:v>
      </x:c>
      <x:c r="W31" s="27" t="str">
        <x:v>disease activity or topic-specific outcome as reported</x:v>
      </x:c>
      <x:c r="X31" s="27" t="str">
        <x:v>Automated metadata and passage extraction; full methods and tables require human review. Public full text available for deeper review.</x:v>
      </x:c>
      <x:c r="Y31" s="27" t="str">
        <x:v>Region was not clearly North American; practical transferability requires local dietetic and healthcare context.</x:v>
      </x:c>
      <x:c r="Z31" s="27" t="str">
        <x:v>Scientifically relevant to Canada/US if disease context and intervention are comparable; food availability, cuisine, fortification, cost, cultural fit, and healthcare delivery may differ.</x:v>
      </x:c>
      <x:c r="AA31" s="27" t="str">
        <x:v>high</x:v>
      </x:c>
      <x:c r="AB31" s="27" t="str">
        <x:v>deterministic sentence selection</x:v>
      </x:c>
      <x:c r="AC31" s="27" t="str">
        <x:v>pending_human_review</x:v>
      </x:c>
      <x:c r="AD31" s="27" t="str">
        <x:v>reject_recommended</x:v>
      </x:c>
      <x:c r="AE31" s="27" t="str">
        <x:v>RESULTS: A total of 1022 articles were evaluated, 35 articles were retained and 5 studies were added from review articles.</x:v>
      </x:c>
      <x:c r="AF31" s="27" t="str"/>
      <x:c r="AG31" s="27" t="str">
        <x:v>This is a methods, background, sample-description, vague, or non-actionable sentence rather than a safe atomic evidence claim; or it falls outside the product's non-diagnostic, non-treatment scope.</x:v>
      </x:c>
      <x:c r="AH31" s="27" t="str">
        <x:v>verified_against_public_abstract</x:v>
      </x:c>
      <x:c r="AI31" s="27" t="str"/>
      <x:c r="AJ31" s="27" t="str">
        <x:v>Reject unless a reviewer identifies a distinct, directly supported informational use.</x:v>
      </x:c>
      <x:c r="AK31" s="30" t="str"/>
      <x:c r="AL31" s="30" t="str"/>
      <x:c r="AM31" s="30" t="str"/>
    </x:row>
    <x:row r="32" ht="96" customHeight="1">
      <x:c r="A32" s="27" t="str">
        <x:v>CLM-028</x:v>
      </x:c>
      <x:c r="B32" s="27" t="str">
        <x:v>SRC-007</x:v>
      </x:c>
      <x:c r="C32" s="27" t="str">
        <x:v>Systematic review and meta-analysis of lactose digestion, its impact on intolerance and nutritional effects of dairy food restriction in inflammatory bowel diseases.</x:v>
      </x:c>
      <x:c r="D32" s="27" t="str">
        <x:v>review</x:v>
      </x:c>
      <x:c r="E32" s="27" t="str">
        <x:v>https://pubmed.ncbi.nlm.nih.gov/27411934/</x:v>
      </x:c>
      <x:c r="F32" s="27" t="str">
        <x:v>crohns_disease</x:v>
      </x:c>
      <x:c r="G32" s="27" t="str">
        <x:v>general_or_unspecified</x:v>
      </x:c>
      <x:c r="H32" s="27" t="str">
        <x:v>core_condition_knowledge</x:v>
      </x:c>
      <x:c r="I32" s="27" t="str">
        <x:v>disease_activity</x:v>
      </x:c>
      <x:c r="J32" s="27" t="str">
        <x:v>However increased risk on sub analysis was only found in Crohn's in patients with small bowel involvement.</x:v>
      </x:c>
      <x:c r="K32" s="27" t="str">
        <x:v>In plain terms, the source reports: However increased risk on sub analysis was only found in Crohn's in patients with small bowel involvement.</x:v>
      </x:c>
      <x:c r="L32" s="27" t="str">
        <x:v>Background explanation with source citation and explicit uncertainty; never personalized diagnosis or treatment advice.</x:v>
      </x:c>
      <x:c r="M32" s="27" t="str">
        <x:v>However increased risk on sub analysis was only found in Crohn's in patients with small bowel involvement.</x:v>
      </x:c>
      <x:c r="N32" s="27" t="str">
        <x:v>PubMed abstract</x:v>
      </x:c>
      <x:c r="O32" s="27" t="str"/>
      <x:c r="P32" s="27" t="str">
        <x:v>meta_analysis</x:v>
      </x:c>
      <x:c r="Q32" s="27" t="str">
        <x:v>meta-analysis</x:v>
      </x:c>
      <x:c r="R32" s="27" t="str">
        <x:v>People with IBD or source-defined population; details require full-text review</x:v>
      </x:c>
      <x:c r="S32" s="27" t="str">
        <x:v>Not reported in extracted metadata</x:v>
      </x:c>
      <x:c r="T32" s="27" t="str">
        <x:v>Not reported in abstract</x:v>
      </x:c>
      <x:c r="U32" s="27" t="str">
        <x:v>Diet, nutrition, or lifestyle exposure/intervention as specified by the source</x:v>
      </x:c>
      <x:c r="V32" s="27" t="str">
        <x:v>As specified by the source; not always reported in the abstract</x:v>
      </x:c>
      <x:c r="W32" s="27" t="str">
        <x:v>disease activity or topic-specific outcome as reported</x:v>
      </x:c>
      <x:c r="X32" s="27" t="str">
        <x:v>Automated metadata and passage extraction; full methods and tables require human review. Public full text available for deeper review.</x:v>
      </x:c>
      <x:c r="Y32" s="27" t="str">
        <x:v>Region was not clearly North American; practical transferability requires local dietetic and healthcare context.</x:v>
      </x:c>
      <x:c r="Z32" s="27" t="str">
        <x:v>Scientifically relevant to Canada/US if disease context and intervention are comparable; food availability, cuisine, fortification, cost, cultural fit, and healthcare delivery may differ.</x:v>
      </x:c>
      <x:c r="AA32" s="27" t="str">
        <x:v>high</x:v>
      </x:c>
      <x:c r="AB32" s="27" t="str">
        <x:v>deterministic sentence selection</x:v>
      </x:c>
      <x:c r="AC32" s="27" t="str">
        <x:v>pending_human_review</x:v>
      </x:c>
      <x:c r="AD32" s="27" t="str">
        <x:v>wording_revision_recommended</x:v>
      </x:c>
      <x:c r="AE32" s="27" t="str">
        <x:v>However increased risk on sub analysis was only found in Crohn's in patients with small bowel involvement.</x:v>
      </x:c>
      <x:c r="AF32" s="27" t="str">
        <x:v>The cited source reports that however increased risk on sub analysis was only found in Crohn's in patients with small bowel involvement. This is population-level association evidence and does not establish causation or predict an individual's disease course.</x:v>
      </x:c>
      <x:c r="AG32" s="27" t="str">
        <x:v>Keep the observational or incidence framing explicit; do not convert association into causal or individual disease-course advice.</x:v>
      </x:c>
      <x:c r="AH32" s="27" t="str">
        <x:v>verified_against_public_abstract</x:v>
      </x:c>
      <x:c r="AI32" s="27" t="str"/>
      <x:c r="AJ32" s="27" t="str">
        <x:v>Review the proposed wording and approve only if the source, population, disease state, and outcome limitation are acceptable.</x:v>
      </x:c>
      <x:c r="AK32" s="30" t="str"/>
      <x:c r="AL32" s="30" t="str"/>
      <x:c r="AM32" s="30" t="str"/>
    </x:row>
    <x:row r="33" ht="96" customHeight="1">
      <x:c r="A33" s="27" t="str">
        <x:v>CLM-029</x:v>
      </x:c>
      <x:c r="B33" s="27" t="str">
        <x:v>SRC-008</x:v>
      </x:c>
      <x:c r="C33" s="27" t="str">
        <x:v>Nutrition, Nutritional Status, Micronutrients Deficiency, and Disease Course of Inflammatory Bowel Disease.</x:v>
      </x:c>
      <x:c r="D33" s="27" t="str">
        <x:v>review</x:v>
      </x:c>
      <x:c r="E33" s="27" t="str">
        <x:v>https://pubmed.ncbi.nlm.nih.gov/37686856/</x:v>
      </x:c>
      <x:c r="F33" s="27" t="str">
        <x:v>ibd_general</x:v>
      </x:c>
      <x:c r="G33" s="27" t="str">
        <x:v>remission</x:v>
      </x:c>
      <x:c r="H33" s="27" t="str">
        <x:v>stress_quality_of_life</x:v>
      </x:c>
      <x:c r="I33" s="27" t="str">
        <x:v>quality_of_life</x:v>
      </x:c>
      <x:c r="J33" s="27" t="str">
        <x:v>The evidence summarized in this review showed that many nutritional aspects could be potential targets to induce a better control of symptoms, a deeper remission, and overall improve the quality of life of Inflammatory Bowel Disease patients.</x:v>
      </x:c>
      <x:c r="K33" s="27" t="str">
        <x:v>In plain terms, the source reports: The evidence summarized in this review showed that many nutritional aspects could be potential targets to induce a better control of symptoms, a deeper remission, and overall improve the quality of life of Inflammatory Bowel Disease patients.</x:v>
      </x:c>
      <x:c r="L33" s="27" t="str">
        <x:v>Background explanation with source citation and explicit uncertainty; never personalized diagnosis or treatment advice.</x:v>
      </x:c>
      <x:c r="M33" s="27" t="str">
        <x:v>The evidence summarized in this review showed that many nutritional aspects could be potential targets to induce a better control of symptoms, a deeper remission, and overall improve the quality of life of Inflammatory Bowel Disease patients.</x:v>
      </x:c>
      <x:c r="N33" s="27" t="str">
        <x:v>PubMed abstract</x:v>
      </x:c>
      <x:c r="O33" s="27" t="str"/>
      <x:c r="P33" s="27" t="str">
        <x:v>systematic_review</x:v>
      </x:c>
      <x:c r="Q33" s="27" t="str">
        <x:v>systematic review</x:v>
      </x:c>
      <x:c r="R33" s="27" t="str">
        <x:v>Adults with IBD, as specified</x:v>
      </x:c>
      <x:c r="S33" s="27" t="str">
        <x:v>Not reported in extracted metadata</x:v>
      </x:c>
      <x:c r="T33" s="27" t="str">
        <x:v>Not reported in abstract</x:v>
      </x:c>
      <x:c r="U33" s="27" t="str">
        <x:v>Diet, nutrition, or lifestyle exposure/intervention as specified by the source</x:v>
      </x:c>
      <x:c r="V33" s="27" t="str">
        <x:v>As specified by the source; not always reported in the abstract</x:v>
      </x:c>
      <x:c r="W33" s="27" t="str">
        <x:v>quality of life</x:v>
      </x:c>
      <x:c r="X33" s="27" t="str">
        <x:v>Automated metadata and passage extraction; full methods and tables require human review. Public full text available for deeper review.</x:v>
      </x:c>
      <x:c r="Y33" s="27" t="str">
        <x:v>Region was not clearly North American; practical transferability requires local dietetic and healthcare context.</x:v>
      </x:c>
      <x:c r="Z33" s="27" t="str">
        <x:v>Scientifically relevant to Canada/US if disease context and intervention are comparable; food availability, cuisine, fortification, cost, cultural fit, and healthcare delivery may differ.</x:v>
      </x:c>
      <x:c r="AA33" s="27" t="str">
        <x:v>high</x:v>
      </x:c>
      <x:c r="AB33" s="27" t="str">
        <x:v>deterministic sentence selection</x:v>
      </x:c>
      <x:c r="AC33" s="27" t="str">
        <x:v>pending_human_review</x:v>
      </x:c>
      <x:c r="AD33" s="27" t="str">
        <x:v>wording_revision_recommended</x:v>
      </x:c>
      <x:c r="AE33" s="27" t="str">
        <x:v>The evidence summarized in this review showed that many nutritional aspects could be potential targets to induce a better control of symptoms, a deeper remission, and overall improve the quality of life of Inflammatory Bowel Disease patients.</x:v>
      </x:c>
      <x:c r="AF33" s="27"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AG33" s="27" t="str">
        <x:v>Narrow the wording to the exact passage and retain the source's limitations and uncertainty.</x:v>
      </x:c>
      <x:c r="AH33" s="27" t="str">
        <x:v>verified_against_public_abstract</x:v>
      </x:c>
      <x:c r="AI33" s="27" t="str"/>
      <x:c r="AJ33" s="27" t="str">
        <x:v>Review the proposed wording and approve only if the source, population, disease state, and outcome limitation are acceptable.</x:v>
      </x:c>
      <x:c r="AK33" s="30" t="str"/>
      <x:c r="AL33" s="30" t="str"/>
      <x:c r="AM33" s="30" t="str"/>
    </x:row>
    <x:row r="34" ht="96" customHeight="1">
      <x:c r="A34" s="27" t="str">
        <x:v>CLM-030</x:v>
      </x:c>
      <x:c r="B34" s="27" t="str">
        <x:v>SRC-008</x:v>
      </x:c>
      <x:c r="C34" s="27" t="str">
        <x:v>Nutrition, Nutritional Status, Micronutrients Deficiency, and Disease Course of Inflammatory Bowel Disease.</x:v>
      </x:c>
      <x:c r="D34" s="27" t="str">
        <x:v>review</x:v>
      </x:c>
      <x:c r="E34" s="27" t="str">
        <x:v>https://pubmed.ncbi.nlm.nih.gov/37686856/</x:v>
      </x:c>
      <x:c r="F34" s="27" t="str">
        <x:v>ibd_general</x:v>
      </x:c>
      <x:c r="G34" s="27" t="str">
        <x:v>general_or_unspecified</x:v>
      </x:c>
      <x:c r="H34" s="27" t="str">
        <x:v>nutrition_status</x:v>
      </x:c>
      <x:c r="I34" s="27" t="str">
        <x:v>inflammation</x:v>
      </x:c>
      <x:c r="J34" s="27" t="str">
        <x:v>During the disease course, most Inflammatory Bowel Disease patients present a condition of malnutrition, undernutrition, or even overnutrition.</x:v>
      </x:c>
      <x:c r="K34" s="27" t="str">
        <x:v>In plain terms, the source reports: During the disease course, most Inflammatory Bowel Disease patients present a condition of malnutrition, undernutrition, or even overnutrition.</x:v>
      </x:c>
      <x:c r="L34" s="27" t="str">
        <x:v>Background explanation with source citation and explicit uncertainty; never personalized diagnosis or treatment advice.</x:v>
      </x:c>
      <x:c r="M34" s="27" t="str">
        <x:v>During the disease course, most Inflammatory Bowel Disease patients present a condition of malnutrition, undernutrition, or even overnutrition.</x:v>
      </x:c>
      <x:c r="N34" s="27" t="str">
        <x:v>PubMed abstract</x:v>
      </x:c>
      <x:c r="O34" s="27" t="str"/>
      <x:c r="P34" s="27" t="str">
        <x:v>systematic_review</x:v>
      </x:c>
      <x:c r="Q34" s="27" t="str">
        <x:v>systematic review</x:v>
      </x:c>
      <x:c r="R34" s="27" t="str">
        <x:v>Adults with IBD, as specified</x:v>
      </x:c>
      <x:c r="S34" s="27" t="str">
        <x:v>Not reported in extracted metadata</x:v>
      </x:c>
      <x:c r="T34" s="27" t="str">
        <x:v>Not reported in abstract</x:v>
      </x:c>
      <x:c r="U34" s="27" t="str">
        <x:v>Diet, nutrition, or lifestyle exposure/intervention as specified by the source</x:v>
      </x:c>
      <x:c r="V34" s="27" t="str">
        <x:v>As specified by the source; not always reported in the abstract</x:v>
      </x:c>
      <x:c r="W34" s="27" t="str">
        <x:v>disease activity or topic-specific outcome as reported</x:v>
      </x:c>
      <x:c r="X34" s="27" t="str">
        <x:v>Automated metadata and passage extraction; full methods and tables require human review. Public full text available for deeper review.</x:v>
      </x:c>
      <x:c r="Y34" s="27" t="str">
        <x:v>Region was not clearly North American; practical transferability requires local dietetic and healthcare context.</x:v>
      </x:c>
      <x:c r="Z34" s="27" t="str">
        <x:v>Scientifically relevant to Canada/US if disease context and intervention are comparable; food availability, cuisine, fortification, cost, cultural fit, and healthcare delivery may differ.</x:v>
      </x:c>
      <x:c r="AA34" s="27" t="str">
        <x:v>high</x:v>
      </x:c>
      <x:c r="AB34" s="27" t="str">
        <x:v>deterministic sentence selection</x:v>
      </x:c>
      <x:c r="AC34" s="27" t="str">
        <x:v>pending_human_review</x:v>
      </x:c>
      <x:c r="AD34" s="27" t="str">
        <x:v>wording_revision_recommended</x:v>
      </x:c>
      <x:c r="AE34" s="27" t="str">
        <x:v>During the disease course, most Inflammatory Bowel Disease patients present a condition of malnutrition, undernutrition, or even overnutrition.</x:v>
      </x:c>
      <x:c r="AF34" s="27" t="str">
        <x:v>The cited source reports that during the disease course, most Inflammatory Bowel Disease patients present a condition of malnutrition, undernutrition, or even overnutrition. The specific measured marker or inflammatory outcome should remain explicit.</x:v>
      </x:c>
      <x:c r="AG34" s="27" t="str">
        <x:v>State the measured outcome precisely and avoid treating symptom change, biomarkers, and inflammation as interchangeable.</x:v>
      </x:c>
      <x:c r="AH34" s="27" t="str">
        <x:v>verified_against_public_abstract</x:v>
      </x:c>
      <x:c r="AI34" s="27" t="str"/>
      <x:c r="AJ34" s="27" t="str">
        <x:v>Review the proposed wording and approve only if the source, population, disease state, and outcome limitation are acceptable.</x:v>
      </x:c>
      <x:c r="AK34" s="30" t="str"/>
      <x:c r="AL34" s="30" t="str"/>
      <x:c r="AM34" s="30" t="str"/>
    </x:row>
    <x:row r="35" ht="96" customHeight="1">
      <x:c r="A35" s="27" t="str">
        <x:v>CLM-031</x:v>
      </x:c>
      <x:c r="B35" s="27" t="str">
        <x:v>SRC-008</x:v>
      </x:c>
      <x:c r="C35" s="27" t="str">
        <x:v>Nutrition, Nutritional Status, Micronutrients Deficiency, and Disease Course of Inflammatory Bowel Disease.</x:v>
      </x:c>
      <x:c r="D35" s="27" t="str">
        <x:v>review</x:v>
      </x:c>
      <x:c r="E35" s="27" t="str">
        <x:v>https://pubmed.ncbi.nlm.nih.gov/37686856/</x:v>
      </x:c>
      <x:c r="F35" s="27" t="str">
        <x:v>ibd_general</x:v>
      </x:c>
      <x:c r="G35" s="27" t="str">
        <x:v>active_disease; remission</x:v>
      </x:c>
      <x:c r="H35" s="27" t="str">
        <x:v>nutrition_status</x:v>
      </x:c>
      <x:c r="I35" s="27" t="str">
        <x:v>quality_of_life</x:v>
      </x:c>
      <x:c r="J35" s="27" t="str">
        <x:v>A suboptimal nutritional status and low micronutrient serum levels can have a negative impact on both induction and maintenance of remission and on the quality of life of Inflammatory Bowel Disease patients.</x:v>
      </x:c>
      <x:c r="K35" s="27" t="str">
        <x:v>In plain terms, the source reports: A suboptimal nutritional status and low micronutrient serum levels can have a negative impact on both induction and maintenance of remission and on the quality of life of Inflammatory Bowel Disease patients.</x:v>
      </x:c>
      <x:c r="L35" s="27" t="str">
        <x:v>Background explanation with source citation and explicit uncertainty; never personalized diagnosis or treatment advice.</x:v>
      </x:c>
      <x:c r="M35" s="27" t="str">
        <x:v>A suboptimal nutritional status and low micronutrient serum levels can have a negative impact on both induction and maintenance of remission and on the quality of life of Inflammatory Bowel Disease patients.</x:v>
      </x:c>
      <x:c r="N35" s="27" t="str">
        <x:v>PubMed abstract</x:v>
      </x:c>
      <x:c r="O35" s="27" t="str"/>
      <x:c r="P35" s="27" t="str">
        <x:v>systematic_review</x:v>
      </x:c>
      <x:c r="Q35" s="27" t="str">
        <x:v>systematic review</x:v>
      </x:c>
      <x:c r="R35" s="27" t="str">
        <x:v>Adults with IBD, as specified</x:v>
      </x:c>
      <x:c r="S35" s="27" t="str">
        <x:v>Not reported in extracted metadata</x:v>
      </x:c>
      <x:c r="T35" s="27" t="str">
        <x:v>Not reported in abstract</x:v>
      </x:c>
      <x:c r="U35" s="27" t="str">
        <x:v>Diet, nutrition, or lifestyle exposure/intervention as specified by the source</x:v>
      </x:c>
      <x:c r="V35" s="27" t="str">
        <x:v>As specified by the source; not always reported in the abstract</x:v>
      </x:c>
      <x:c r="W35" s="27" t="str">
        <x:v>quality of life</x:v>
      </x:c>
      <x:c r="X35" s="27" t="str">
        <x:v>Automated metadata and passage extraction; full methods and tables require human review. Public full text available for deeper review.</x:v>
      </x:c>
      <x:c r="Y35" s="27" t="str">
        <x:v>Region was not clearly North American; practical transferability requires local dietetic and healthcare context.</x:v>
      </x:c>
      <x:c r="Z35" s="27" t="str">
        <x:v>Scientifically relevant to Canada/US if disease context and intervention are comparable; food availability, cuisine, fortification, cost, cultural fit, and healthcare delivery may differ.</x:v>
      </x:c>
      <x:c r="AA35" s="27" t="str">
        <x:v>high</x:v>
      </x:c>
      <x:c r="AB35" s="27" t="str">
        <x:v>deterministic sentence selection</x:v>
      </x:c>
      <x:c r="AC35" s="27" t="str">
        <x:v>pending_human_review</x:v>
      </x:c>
      <x:c r="AD35" s="27" t="str">
        <x:v>wording_revision_recommended</x:v>
      </x:c>
      <x:c r="AE35" s="27" t="str">
        <x:v>A suboptimal nutritional status and low micronutrient serum levels can have a negative impact on both induction and maintenance of remission and on the quality of life of Inflammatory Bowel Disease patients.</x:v>
      </x:c>
      <x:c r="AF35" s="27"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AG35" s="27" t="str">
        <x:v>Narrow the wording to the exact passage and retain the source's limitations and uncertainty.</x:v>
      </x:c>
      <x:c r="AH35" s="27" t="str">
        <x:v>verified_against_public_abstract</x:v>
      </x:c>
      <x:c r="AI35" s="27" t="str"/>
      <x:c r="AJ35" s="27" t="str">
        <x:v>Review the proposed wording and approve only if the source, population, disease state, and outcome limitation are acceptable.</x:v>
      </x:c>
      <x:c r="AK35" s="30" t="str"/>
      <x:c r="AL35" s="30" t="str"/>
      <x:c r="AM35" s="30" t="str"/>
    </x:row>
    <x:row r="36" ht="96" customHeight="1">
      <x:c r="A36" s="27" t="str">
        <x:v>CLM-032</x:v>
      </x:c>
      <x:c r="B36" s="27" t="str">
        <x:v>SRC-008</x:v>
      </x:c>
      <x:c r="C36" s="27" t="str">
        <x:v>Nutrition, Nutritional Status, Micronutrients Deficiency, and Disease Course of Inflammatory Bowel Disease.</x:v>
      </x:c>
      <x:c r="D36" s="27" t="str">
        <x:v>review</x:v>
      </x:c>
      <x:c r="E36" s="27" t="str">
        <x:v>https://pubmed.ncbi.nlm.nih.gov/37686856/</x:v>
      </x:c>
      <x:c r="F36" s="27" t="str">
        <x:v>ibd_general</x:v>
      </x:c>
      <x:c r="G36" s="27" t="str">
        <x:v>general_or_unspecified</x:v>
      </x:c>
      <x:c r="H36" s="27" t="str">
        <x:v>nutrition_status</x:v>
      </x:c>
      <x:c r="I36" s="27" t="str">
        <x:v>inflammation</x:v>
      </x:c>
      <x:c r="J36"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K36" s="27" t="str">
        <x:v>In plain terms, the source reports: 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L36" s="27" t="str">
        <x:v>Background explanation with source citation and explicit uncertainty; never personalized diagnosis or treatment advice.</x:v>
      </x:c>
      <x:c r="M36"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N36" s="27" t="str">
        <x:v>PubMed abstract</x:v>
      </x:c>
      <x:c r="O36" s="27" t="str"/>
      <x:c r="P36" s="27" t="str">
        <x:v>systematic_review</x:v>
      </x:c>
      <x:c r="Q36" s="27" t="str">
        <x:v>systematic review</x:v>
      </x:c>
      <x:c r="R36" s="27" t="str">
        <x:v>Adults with IBD, as specified</x:v>
      </x:c>
      <x:c r="S36" s="27" t="str">
        <x:v>Not reported in extracted metadata</x:v>
      </x:c>
      <x:c r="T36" s="27" t="str">
        <x:v>Not reported in abstract</x:v>
      </x:c>
      <x:c r="U36" s="27" t="str">
        <x:v>Diet, nutrition, or lifestyle exposure/intervention as specified by the source</x:v>
      </x:c>
      <x:c r="V36" s="27" t="str">
        <x:v>As specified by the source; not always reported in the abstract</x:v>
      </x:c>
      <x:c r="W36" s="27" t="str">
        <x:v>disease activity or topic-specific outcome as reported</x:v>
      </x:c>
      <x:c r="X36" s="27" t="str">
        <x:v>Automated metadata and passage extraction; full methods and tables require human review. Public full text available for deeper review.</x:v>
      </x:c>
      <x:c r="Y36" s="27" t="str">
        <x:v>Region was not clearly North American; practical transferability requires local dietetic and healthcare context.</x:v>
      </x:c>
      <x:c r="Z36" s="27" t="str">
        <x:v>Scientifically relevant to Canada/US if disease context and intervention are comparable; food availability, cuisine, fortification, cost, cultural fit, and healthcare delivery may differ.</x:v>
      </x:c>
      <x:c r="AA36" s="27" t="str">
        <x:v>high</x:v>
      </x:c>
      <x:c r="AB36" s="27" t="str">
        <x:v>deterministic sentence selection</x:v>
      </x:c>
      <x:c r="AC36" s="27" t="str">
        <x:v>pending_human_review</x:v>
      </x:c>
      <x:c r="AD36" s="27" t="str">
        <x:v>reject_recommended</x:v>
      </x:c>
      <x:c r="AE36"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AF36" s="27" t="str"/>
      <x:c r="AG36" s="27" t="str">
        <x:v>This is a methods, background, sample-description, vague, or non-actionable sentence rather than a safe atomic evidence claim; or it falls outside the product's non-diagnostic, non-treatment scope.</x:v>
      </x:c>
      <x:c r="AH36" s="27" t="str">
        <x:v>verified_against_public_abstract</x:v>
      </x:c>
      <x:c r="AI36" s="27" t="str"/>
      <x:c r="AJ36" s="27" t="str">
        <x:v>Reject unless a reviewer identifies a distinct, directly supported informational use.</x:v>
      </x:c>
      <x:c r="AK36" s="30" t="str"/>
      <x:c r="AL36" s="30" t="str"/>
      <x:c r="AM36" s="30" t="str"/>
    </x:row>
    <x:row r="37" ht="96" customHeight="1">
      <x:c r="A37" s="27" t="str">
        <x:v>CLM-033</x:v>
      </x:c>
      <x:c r="B37" s="27" t="str">
        <x:v>SRC-009</x:v>
      </x:c>
      <x:c r="C37" s="27" t="str">
        <x:v>Systematic review and meta-analysis of sleep quality in inactive inflammatory bowel disease.</x:v>
      </x:c>
      <x:c r="D37" s="27" t="str">
        <x:v>review</x:v>
      </x:c>
      <x:c r="E37" s="27" t="str">
        <x:v>https://pubmed.ncbi.nlm.nih.gov/36406652/</x:v>
      </x:c>
      <x:c r="F37" s="27" t="str">
        <x:v>ibd_general</x:v>
      </x:c>
      <x:c r="G37" s="27" t="str">
        <x:v>general_or_unspecified</x:v>
      </x:c>
      <x:c r="H37" s="27" t="str">
        <x:v>sleep</x:v>
      </x:c>
      <x:c r="I37" s="27" t="str">
        <x:v>inflammation</x:v>
      </x:c>
      <x:c r="J37" s="27" t="str">
        <x:v>Poor sleep in people with inflammatory bowel disease (IBD) has been demonstrated to be prevalent and has been associated with disease activity.</x:v>
      </x:c>
      <x:c r="K37" s="27" t="str">
        <x:v>In plain terms, the source reports: Poor sleep in people with inflammatory bowel disease (inflammatory bowel disease) has been demonstrated to be prevalent and has been associated with disease activity.</x:v>
      </x:c>
      <x:c r="L37" s="27" t="str">
        <x:v>Background explanation with source citation and explicit uncertainty; never personalized diagnosis or treatment advice.</x:v>
      </x:c>
      <x:c r="M37" s="27" t="str">
        <x:v>Poor sleep in people with inflammatory bowel disease (IBD) has been demonstrated to be prevalent and has been associated with disease activity.</x:v>
      </x:c>
      <x:c r="N37" s="27" t="str">
        <x:v>PubMed abstract</x:v>
      </x:c>
      <x:c r="O37" s="27" t="str"/>
      <x:c r="P37" s="27" t="str">
        <x:v>meta_analysis</x:v>
      </x:c>
      <x:c r="Q37" s="27" t="str">
        <x:v>meta-analysis</x:v>
      </x:c>
      <x:c r="R37" s="27" t="str">
        <x:v>General population cohort; indirect evidence for IBD users</x:v>
      </x:c>
      <x:c r="S37" s="27" t="str">
        <x:v>Not reported in extracted metadata</x:v>
      </x:c>
      <x:c r="T37" s="27" t="str">
        <x:v>Not reported in abstract</x:v>
      </x:c>
      <x:c r="U37" s="27" t="str">
        <x:v>Diet, nutrition, or lifestyle exposure/intervention as specified by the source</x:v>
      </x:c>
      <x:c r="V37" s="27" t="str">
        <x:v>As specified by the source; not always reported in the abstract</x:v>
      </x:c>
      <x:c r="W37" s="27" t="str">
        <x:v>disease activity or topic-specific outcome as reported</x:v>
      </x:c>
      <x:c r="X37" s="27" t="str">
        <x:v>Automated metadata and passage extraction; full methods and tables require human review. Public full text available for deeper review.</x:v>
      </x:c>
      <x:c r="Y37" s="27" t="str">
        <x:v>Region was not clearly North American; practical transferability requires local dietetic and healthcare context.</x:v>
      </x:c>
      <x:c r="Z37" s="27" t="str">
        <x:v>Scientifically relevant to Canada/US if disease context and intervention are comparable; food availability, cuisine, fortification, cost, cultural fit, and healthcare delivery may differ.</x:v>
      </x:c>
      <x:c r="AA37" s="27" t="str">
        <x:v>high</x:v>
      </x:c>
      <x:c r="AB37" s="27" t="str">
        <x:v>deterministic sentence selection</x:v>
      </x:c>
      <x:c r="AC37" s="27" t="str">
        <x:v>pending_human_review</x:v>
      </x:c>
      <x:c r="AD37" s="27" t="str">
        <x:v>wording_revision_recommended</x:v>
      </x:c>
      <x:c r="AE37" s="27" t="str">
        <x:v>Poor sleep in people with inflammatory bowel disease (IBD) has been demonstrated to be prevalent and has been associated with disease activity.</x:v>
      </x:c>
      <x:c r="AF37" s="27"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AG37" s="27" t="str">
        <x:v>Keep the observational or incidence framing explicit; do not convert association into causal or individual disease-course advice.</x:v>
      </x:c>
      <x:c r="AH37" s="27" t="str">
        <x:v>verified_against_public_abstract</x:v>
      </x:c>
      <x:c r="AI37" s="27" t="str"/>
      <x:c r="AJ37" s="27" t="str">
        <x:v>Review the proposed wording and approve only if the source, population, disease state, and outcome limitation are acceptable.</x:v>
      </x:c>
      <x:c r="AK37" s="30" t="str"/>
      <x:c r="AL37" s="30" t="str"/>
      <x:c r="AM37" s="30" t="str"/>
    </x:row>
    <x:row r="38" ht="96" customHeight="1">
      <x:c r="A38" s="27" t="str">
        <x:v>CLM-034</x:v>
      </x:c>
      <x:c r="B38" s="27" t="str">
        <x:v>SRC-009</x:v>
      </x:c>
      <x:c r="C38" s="27" t="str">
        <x:v>Systematic review and meta-analysis of sleep quality in inactive inflammatory bowel disease.</x:v>
      </x:c>
      <x:c r="D38" s="27" t="str">
        <x:v>review</x:v>
      </x:c>
      <x:c r="E38" s="27" t="str">
        <x:v>https://pubmed.ncbi.nlm.nih.gov/36406652/</x:v>
      </x:c>
      <x:c r="F38" s="27" t="str">
        <x:v>ibd_general</x:v>
      </x:c>
      <x:c r="G38" s="27" t="str">
        <x:v>general_or_unspecified</x:v>
      </x:c>
      <x:c r="H38" s="27" t="str">
        <x:v>sleep</x:v>
      </x:c>
      <x:c r="I38" s="27" t="str">
        <x:v>inflammation</x:v>
      </x:c>
      <x:c r="J38" s="27" t="str">
        <x:v>Further studies should consider potential mechanisms to explain this result, including the role of subclinical inflammation and psychosocial factors that may influence sleep quality in people with IBD.</x:v>
      </x:c>
      <x:c r="K38" s="27" t="str">
        <x:v>In plain terms, the source reports: Further studies should consider potential mechanisms to explain this result, including the role of subclinical inflammation and psychosocial factors that may influence sleep quality in people with inflammatory bowel disease.</x:v>
      </x:c>
      <x:c r="L38" s="27" t="str">
        <x:v>Background explanation with source citation and explicit uncertainty; never personalized diagnosis or treatment advice.</x:v>
      </x:c>
      <x:c r="M38" s="27" t="str">
        <x:v>Further studies should consider potential mechanisms to explain this result, including the role of subclinical inflammation and psychosocial factors that may influence sleep quality in people with IBD.</x:v>
      </x:c>
      <x:c r="N38" s="27" t="str">
        <x:v>PubMed abstract</x:v>
      </x:c>
      <x:c r="O38" s="27" t="str"/>
      <x:c r="P38" s="27" t="str">
        <x:v>meta_analysis</x:v>
      </x:c>
      <x:c r="Q38" s="27" t="str">
        <x:v>meta-analysis</x:v>
      </x:c>
      <x:c r="R38" s="27" t="str">
        <x:v>General population cohort; indirect evidence for IBD users</x:v>
      </x:c>
      <x:c r="S38" s="27" t="str">
        <x:v>Not reported in extracted metadata</x:v>
      </x:c>
      <x:c r="T38" s="27" t="str">
        <x:v>Not reported in abstract</x:v>
      </x:c>
      <x:c r="U38" s="27" t="str">
        <x:v>Diet, nutrition, or lifestyle exposure/intervention as specified by the source</x:v>
      </x:c>
      <x:c r="V38" s="27" t="str">
        <x:v>As specified by the source; not always reported in the abstract</x:v>
      </x:c>
      <x:c r="W38" s="27" t="str">
        <x:v>disease activity or topic-specific outcome as reported</x:v>
      </x:c>
      <x:c r="X38" s="27" t="str">
        <x:v>Automated metadata and passage extraction; full methods and tables require human review. Public full text available for deeper review.</x:v>
      </x:c>
      <x:c r="Y38" s="27" t="str">
        <x:v>Region was not clearly North American; practical transferability requires local dietetic and healthcare context.</x:v>
      </x:c>
      <x:c r="Z38" s="27" t="str">
        <x:v>Scientifically relevant to Canada/US if disease context and intervention are comparable; food availability, cuisine, fortification, cost, cultural fit, and healthcare delivery may differ.</x:v>
      </x:c>
      <x:c r="AA38" s="27" t="str">
        <x:v>high</x:v>
      </x:c>
      <x:c r="AB38" s="27" t="str">
        <x:v>deterministic sentence selection</x:v>
      </x:c>
      <x:c r="AC38" s="27" t="str">
        <x:v>pending_human_review</x:v>
      </x:c>
      <x:c r="AD38" s="27" t="str">
        <x:v>reject_recommended</x:v>
      </x:c>
      <x:c r="AE38" s="27" t="str">
        <x:v>Further studies should consider potential mechanisms to explain this result, including the role of subclinical inflammation and psychosocial factors that may influence sleep quality in people with IBD.</x:v>
      </x:c>
      <x:c r="AF38" s="27" t="str"/>
      <x:c r="AG38" s="27" t="str">
        <x:v>This is a methods, background, sample-description, vague, or non-actionable sentence rather than a safe atomic evidence claim; or it falls outside the product's non-diagnostic, non-treatment scope.</x:v>
      </x:c>
      <x:c r="AH38" s="27" t="str">
        <x:v>verified_against_public_abstract</x:v>
      </x:c>
      <x:c r="AI38" s="27" t="str"/>
      <x:c r="AJ38" s="27" t="str">
        <x:v>Reject unless a reviewer identifies a distinct, directly supported informational use.</x:v>
      </x:c>
      <x:c r="AK38" s="30" t="str"/>
      <x:c r="AL38" s="30" t="str"/>
      <x:c r="AM38" s="30" t="str"/>
    </x:row>
    <x:row r="39" ht="96" customHeight="1">
      <x:c r="A39" s="27" t="str">
        <x:v>CLM-035</x:v>
      </x:c>
      <x:c r="B39" s="27" t="str">
        <x:v>SRC-009</x:v>
      </x:c>
      <x:c r="C39" s="27" t="str">
        <x:v>Systematic review and meta-analysis of sleep quality in inactive inflammatory bowel disease.</x:v>
      </x:c>
      <x:c r="D39" s="27" t="str">
        <x:v>review</x:v>
      </x:c>
      <x:c r="E39" s="27" t="str">
        <x:v>https://pubmed.ncbi.nlm.nih.gov/36406652/</x:v>
      </x:c>
      <x:c r="F39" s="27" t="str">
        <x:v>ibd_general</x:v>
      </x:c>
      <x:c r="G39" s="27" t="str">
        <x:v>general_or_unspecified</x:v>
      </x:c>
      <x:c r="H39" s="27" t="str">
        <x:v>sleep</x:v>
      </x:c>
      <x:c r="I39" s="27" t="str">
        <x:v>disease_activity</x:v>
      </x:c>
      <x:c r="J39" s="27" t="str">
        <x:v>This meta-analysis aimed to assess the prevalence of poor sleep in inactive IBD and in controls by considering cohort and cross-sectional studies.</x:v>
      </x:c>
      <x:c r="K39" s="27" t="str">
        <x:v>In plain terms, the source reports: This meta-analysis aimed to assess the prevalence of poor sleep in inactive inflammatory bowel disease and in controls by considering cohort and cross-sectional studies.</x:v>
      </x:c>
      <x:c r="L39" s="27" t="str">
        <x:v>Background explanation with source citation and explicit uncertainty; never personalized diagnosis or treatment advice.</x:v>
      </x:c>
      <x:c r="M39" s="27" t="str">
        <x:v>This meta-analysis aimed to assess the prevalence of poor sleep in inactive IBD and in controls by considering cohort and cross-sectional studies.</x:v>
      </x:c>
      <x:c r="N39" s="27" t="str">
        <x:v>PubMed abstract</x:v>
      </x:c>
      <x:c r="O39" s="27" t="str"/>
      <x:c r="P39" s="27" t="str">
        <x:v>meta_analysis</x:v>
      </x:c>
      <x:c r="Q39" s="27" t="str">
        <x:v>meta-analysis</x:v>
      </x:c>
      <x:c r="R39" s="27" t="str">
        <x:v>General population cohort; indirect evidence for IBD users</x:v>
      </x:c>
      <x:c r="S39" s="27" t="str">
        <x:v>Not reported in extracted metadata</x:v>
      </x:c>
      <x:c r="T39" s="27" t="str">
        <x:v>Not reported in abstract</x:v>
      </x:c>
      <x:c r="U39" s="27" t="str">
        <x:v>Diet, nutrition, or lifestyle exposure/intervention as specified by the source</x:v>
      </x:c>
      <x:c r="V39" s="27" t="str">
        <x:v>As specified by the source; not always reported in the abstract</x:v>
      </x:c>
      <x:c r="W39" s="27" t="str">
        <x:v>disease activity or topic-specific outcome as reported</x:v>
      </x:c>
      <x:c r="X39" s="27" t="str">
        <x:v>Automated metadata and passage extraction; full methods and tables require human review. Public full text available for deeper review.</x:v>
      </x:c>
      <x:c r="Y39" s="27" t="str">
        <x:v>Region was not clearly North American; practical transferability requires local dietetic and healthcare context.</x:v>
      </x:c>
      <x:c r="Z39" s="27" t="str">
        <x:v>Scientifically relevant to Canada/US if disease context and intervention are comparable; food availability, cuisine, fortification, cost, cultural fit, and healthcare delivery may differ.</x:v>
      </x:c>
      <x:c r="AA39" s="27" t="str">
        <x:v>high</x:v>
      </x:c>
      <x:c r="AB39" s="27" t="str">
        <x:v>deterministic sentence selection</x:v>
      </x:c>
      <x:c r="AC39" s="27" t="str">
        <x:v>pending_human_review</x:v>
      </x:c>
      <x:c r="AD39" s="27" t="str">
        <x:v>reject_recommended</x:v>
      </x:c>
      <x:c r="AE39" s="27" t="str">
        <x:v>This meta-analysis aimed to assess the prevalence of poor sleep in inactive IBD and in controls by considering cohort and cross-sectional studies.</x:v>
      </x:c>
      <x:c r="AF39" s="27" t="str"/>
      <x:c r="AG39" s="27" t="str">
        <x:v>This is a methods, background, sample-description, vague, or non-actionable sentence rather than a safe atomic evidence claim; or it falls outside the product's non-diagnostic, non-treatment scope.</x:v>
      </x:c>
      <x:c r="AH39" s="27" t="str">
        <x:v>verified_against_public_abstract</x:v>
      </x:c>
      <x:c r="AI39" s="27" t="str"/>
      <x:c r="AJ39" s="27" t="str">
        <x:v>Reject unless a reviewer identifies a distinct, directly supported informational use.</x:v>
      </x:c>
      <x:c r="AK39" s="30" t="str"/>
      <x:c r="AL39" s="30" t="str"/>
      <x:c r="AM39" s="30" t="str"/>
    </x:row>
    <x:row r="40" ht="96" customHeight="1">
      <x:c r="A40" s="27" t="str">
        <x:v>CLM-036</x:v>
      </x:c>
      <x:c r="B40" s="27" t="str">
        <x:v>SRC-009</x:v>
      </x:c>
      <x:c r="C40" s="27" t="str">
        <x:v>Systematic review and meta-analysis of sleep quality in inactive inflammatory bowel disease.</x:v>
      </x:c>
      <x:c r="D40" s="27" t="str">
        <x:v>review</x:v>
      </x:c>
      <x:c r="E40" s="27" t="str">
        <x:v>https://pubmed.ncbi.nlm.nih.gov/36406652/</x:v>
      </x:c>
      <x:c r="F40" s="27" t="str">
        <x:v>ibd_general</x:v>
      </x:c>
      <x:c r="G40" s="27" t="str">
        <x:v>general_or_unspecified</x:v>
      </x:c>
      <x:c r="H40" s="27" t="str">
        <x:v>sleep</x:v>
      </x:c>
      <x:c r="I40" s="27" t="str">
        <x:v>disease_activity</x:v>
      </x:c>
      <x:c r="J40" s="27" t="str">
        <x:v>Poor sleep and IBD activity were defined according to self-reported subjective sleep measures.</x:v>
      </x:c>
      <x:c r="K40" s="27" t="str">
        <x:v>In plain terms, the source reports: Poor sleep and inflammatory bowel disease activity were defined according to self-reported subjective sleep measures.</x:v>
      </x:c>
      <x:c r="L40" s="27" t="str">
        <x:v>Background explanation with source citation and explicit uncertainty; never personalized diagnosis or treatment advice.</x:v>
      </x:c>
      <x:c r="M40" s="27" t="str">
        <x:v>Poor sleep and IBD activity were defined according to self-reported subjective sleep measures.</x:v>
      </x:c>
      <x:c r="N40" s="27" t="str">
        <x:v>PubMed abstract</x:v>
      </x:c>
      <x:c r="O40" s="27" t="str"/>
      <x:c r="P40" s="27" t="str">
        <x:v>meta_analysis</x:v>
      </x:c>
      <x:c r="Q40" s="27" t="str">
        <x:v>meta-analysis</x:v>
      </x:c>
      <x:c r="R40" s="27" t="str">
        <x:v>General population cohort; indirect evidence for IBD users</x:v>
      </x:c>
      <x:c r="S40" s="27" t="str">
        <x:v>Not reported in extracted metadata</x:v>
      </x:c>
      <x:c r="T40" s="27" t="str">
        <x:v>Not reported in abstract</x:v>
      </x:c>
      <x:c r="U40" s="27" t="str">
        <x:v>Diet, nutrition, or lifestyle exposure/intervention as specified by the source</x:v>
      </x:c>
      <x:c r="V40" s="27" t="str">
        <x:v>As specified by the source; not always reported in the abstract</x:v>
      </x:c>
      <x:c r="W40" s="27" t="str">
        <x:v>disease activity or topic-specific outcome as reported</x:v>
      </x:c>
      <x:c r="X40" s="27" t="str">
        <x:v>Automated metadata and passage extraction; full methods and tables require human review. Public full text available for deeper review.</x:v>
      </x:c>
      <x:c r="Y40" s="27" t="str">
        <x:v>Region was not clearly North American; practical transferability requires local dietetic and healthcare context.</x:v>
      </x:c>
      <x:c r="Z40" s="27" t="str">
        <x:v>Scientifically relevant to Canada/US if disease context and intervention are comparable; food availability, cuisine, fortification, cost, cultural fit, and healthcare delivery may differ.</x:v>
      </x:c>
      <x:c r="AA40" s="27" t="str">
        <x:v>high</x:v>
      </x:c>
      <x:c r="AB40" s="27" t="str">
        <x:v>deterministic sentence selection</x:v>
      </x:c>
      <x:c r="AC40" s="27" t="str">
        <x:v>pending_human_review</x:v>
      </x:c>
      <x:c r="AD40" s="27" t="str">
        <x:v>reject_recommended</x:v>
      </x:c>
      <x:c r="AE40" s="27" t="str">
        <x:v>Poor sleep and IBD activity were defined according to self-reported subjective sleep measures.</x:v>
      </x:c>
      <x:c r="AF40" s="27" t="str"/>
      <x:c r="AG40" s="27" t="str">
        <x:v>This is a methods, background, sample-description, vague, or non-actionable sentence rather than a safe atomic evidence claim; or it falls outside the product's non-diagnostic, non-treatment scope.</x:v>
      </x:c>
      <x:c r="AH40" s="27" t="str">
        <x:v>verified_against_public_abstract</x:v>
      </x:c>
      <x:c r="AI40" s="27" t="str"/>
      <x:c r="AJ40" s="27" t="str">
        <x:v>Reject unless a reviewer identifies a distinct, directly supported informational use.</x:v>
      </x:c>
      <x:c r="AK40" s="30" t="str"/>
      <x:c r="AL40" s="30" t="str"/>
      <x:c r="AM40" s="30" t="str"/>
    </x:row>
    <x:row r="41" ht="96" customHeight="1">
      <x:c r="A41" s="27" t="str">
        <x:v>CLM-037</x:v>
      </x:c>
      <x:c r="B41" s="27" t="str">
        <x:v>SRC-010</x:v>
      </x:c>
      <x:c r="C41" s="27" t="str">
        <x:v>Assessment of causal link between psychological factors and symptom exacerbation in inflammatory bowel disease: a systematic review utilising Bradford Hill criteria and meta-analysis of prospective cohort studies.</x:v>
      </x:c>
      <x:c r="D41" s="27" t="str">
        <x:v>review</x:v>
      </x:c>
      <x:c r="E41" s="27" t="str">
        <x:v>https://pubmed.ncbi.nlm.nih.gov/32738908/</x:v>
      </x:c>
      <x:c r="F41" s="27" t="str">
        <x:v>ibd_general</x:v>
      </x:c>
      <x:c r="G41" s="27" t="str">
        <x:v>general_or_unspecified</x:v>
      </x:c>
      <x:c r="H41" s="27" t="str">
        <x:v>stress_quality_of_life</x:v>
      </x:c>
      <x:c r="I41" s="27" t="str">
        <x:v>symptoms</x:v>
      </x:c>
      <x:c r="J41" s="27" t="str">
        <x:v>Meta-analysis showed depression, anxiety and perceived stress did not have a statistically significant association with an increased risk of symptom exacerbation.</x:v>
      </x:c>
      <x:c r="K41" s="27" t="str">
        <x:v>In plain terms, the source reports: Meta-analysis showed depression, anxiety and perceived stress did not have a statistically significant association with an increased risk of symptom exacerbation.</x:v>
      </x:c>
      <x:c r="L41" s="27" t="str">
        <x:v>Background explanation with source citation and explicit uncertainty; never personalized diagnosis or treatment advice.</x:v>
      </x:c>
      <x:c r="M41" s="27" t="str">
        <x:v>Meta-analysis showed depression, anxiety and perceived stress did not have a statistically significant association with an increased risk of symptom exacerbation.</x:v>
      </x:c>
      <x:c r="N41" s="27" t="str">
        <x:v>PubMed abstract</x:v>
      </x:c>
      <x:c r="O41" s="27" t="str"/>
      <x:c r="P41" s="27" t="str">
        <x:v>meta_analysis</x:v>
      </x:c>
      <x:c r="Q41" s="27" t="str">
        <x:v>meta-analysis</x:v>
      </x:c>
      <x:c r="R41" s="27" t="str">
        <x:v>People with IBD or source-defined population; details require full-text review</x:v>
      </x:c>
      <x:c r="S41" s="27" t="str">
        <x:v>Not reported in extracted metadata</x:v>
      </x:c>
      <x:c r="T41" s="27" t="str">
        <x:v>Not reported in abstract</x:v>
      </x:c>
      <x:c r="U41" s="27" t="str">
        <x:v>Diet, nutrition, or lifestyle exposure/intervention as specified by the source</x:v>
      </x:c>
      <x:c r="V41" s="27" t="str">
        <x:v>As specified by the source; not always reported in the abstract</x:v>
      </x:c>
      <x:c r="W41" s="27" t="str">
        <x:v>symptoms</x:v>
      </x:c>
      <x:c r="X41" s="27" t="str">
        <x:v>Automated metadata and passage extraction; full methods and tables require human review. Public full text available for deeper review.</x:v>
      </x:c>
      <x:c r="Y41" s="27" t="str">
        <x:v>Region was not clearly North American; practical transferability requires local dietetic and healthcare context.</x:v>
      </x:c>
      <x:c r="Z41" s="27" t="str">
        <x:v>Scientifically relevant to Canada/US if disease context and intervention are comparable; food availability, cuisine, fortification, cost, cultural fit, and healthcare delivery may differ.</x:v>
      </x:c>
      <x:c r="AA41" s="27" t="str">
        <x:v>high</x:v>
      </x:c>
      <x:c r="AB41" s="27" t="str">
        <x:v>deterministic sentence selection</x:v>
      </x:c>
      <x:c r="AC41" s="27" t="str">
        <x:v>pending_human_review</x:v>
      </x:c>
      <x:c r="AD41" s="27" t="str">
        <x:v>wording_revision_recommended</x:v>
      </x:c>
      <x:c r="AE41" s="27" t="str">
        <x:v>Meta-analysis showed depression, anxiety and perceived stress did not have a statistically significant association with an increased risk of symptom exacerbation.</x:v>
      </x:c>
      <x:c r="AF41" s="27"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AG41" s="27" t="str">
        <x:v>Keep the observational or incidence framing explicit; do not convert association into causal or individual disease-course advice.</x:v>
      </x:c>
      <x:c r="AH41" s="27" t="str">
        <x:v>verified_against_public_abstract</x:v>
      </x:c>
      <x:c r="AI41" s="27" t="str"/>
      <x:c r="AJ41" s="27" t="str">
        <x:v>Review the proposed wording and approve only if the source, population, disease state, and outcome limitation are acceptable.</x:v>
      </x:c>
      <x:c r="AK41" s="30" t="str"/>
      <x:c r="AL41" s="30" t="str"/>
      <x:c r="AM41" s="30" t="str"/>
    </x:row>
    <x:row r="42" ht="96" customHeight="1">
      <x:c r="A42" s="27" t="str">
        <x:v>CLM-038</x:v>
      </x:c>
      <x:c r="B42" s="27" t="str">
        <x:v>SRC-010</x:v>
      </x:c>
      <x:c r="C42" s="27" t="str">
        <x:v>Assessment of causal link between psychological factors and symptom exacerbation in inflammatory bowel disease: a systematic review utilising Bradford Hill criteria and meta-analysis of prospective cohort studies.</x:v>
      </x:c>
      <x:c r="D42" s="27" t="str">
        <x:v>review</x:v>
      </x:c>
      <x:c r="E42" s="27" t="str">
        <x:v>https://pubmed.ncbi.nlm.nih.gov/32738908/</x:v>
      </x:c>
      <x:c r="F42" s="27" t="str">
        <x:v>ibd_general</x:v>
      </x:c>
      <x:c r="G42" s="27" t="str">
        <x:v>general_or_unspecified</x:v>
      </x:c>
      <x:c r="H42" s="27" t="str">
        <x:v>stress_quality_of_life</x:v>
      </x:c>
      <x:c r="I42" s="27" t="str">
        <x:v>disease_activity</x:v>
      </x:c>
      <x:c r="J42" s="27" t="str">
        <x:v>Four of the Bradford Hill criteria were met which indicates that there is weak to moderate evidence of a causal association between all the psychological factors and disease activity.</x:v>
      </x:c>
      <x:c r="K42" s="27" t="str">
        <x:v>In plain terms, the source reports: Four of the Bradford Hill criteria were met which indicates that there is weak to moderate evidence of a causal association between all the psychological factors and disease activity.</x:v>
      </x:c>
      <x:c r="L42" s="27" t="str">
        <x:v>Background explanation with source citation and explicit uncertainty; never personalized diagnosis or treatment advice.</x:v>
      </x:c>
      <x:c r="M42" s="27" t="str">
        <x:v>Four of the Bradford Hill criteria were met which indicates that there is weak to moderate evidence of a causal association between all the psychological factors and disease activity.</x:v>
      </x:c>
      <x:c r="N42" s="27" t="str">
        <x:v>PubMed abstract</x:v>
      </x:c>
      <x:c r="O42" s="27" t="str"/>
      <x:c r="P42" s="27" t="str">
        <x:v>meta_analysis</x:v>
      </x:c>
      <x:c r="Q42" s="27" t="str">
        <x:v>meta-analysis</x:v>
      </x:c>
      <x:c r="R42" s="27" t="str">
        <x:v>People with IBD or source-defined population; details require full-text review</x:v>
      </x:c>
      <x:c r="S42" s="27" t="str">
        <x:v>Not reported in extracted metadata</x:v>
      </x:c>
      <x:c r="T42" s="27" t="str">
        <x:v>Not reported in abstract</x:v>
      </x:c>
      <x:c r="U42" s="27" t="str">
        <x:v>Diet, nutrition, or lifestyle exposure/intervention as specified by the source</x:v>
      </x:c>
      <x:c r="V42" s="27" t="str">
        <x:v>As specified by the source; not always reported in the abstract</x:v>
      </x:c>
      <x:c r="W42" s="27" t="str">
        <x:v>disease activity or topic-specific outcome as reported</x:v>
      </x:c>
      <x:c r="X42" s="27" t="str">
        <x:v>Automated metadata and passage extraction; full methods and tables require human review. Public full text available for deeper review.</x:v>
      </x:c>
      <x:c r="Y42" s="27" t="str">
        <x:v>Region was not clearly North American; practical transferability requires local dietetic and healthcare context.</x:v>
      </x:c>
      <x:c r="Z42" s="27" t="str">
        <x:v>Scientifically relevant to Canada/US if disease context and intervention are comparable; food availability, cuisine, fortification, cost, cultural fit, and healthcare delivery may differ.</x:v>
      </x:c>
      <x:c r="AA42" s="27" t="str">
        <x:v>high</x:v>
      </x:c>
      <x:c r="AB42" s="27" t="str">
        <x:v>deterministic sentence selection</x:v>
      </x:c>
      <x:c r="AC42" s="27" t="str">
        <x:v>pending_human_review</x:v>
      </x:c>
      <x:c r="AD42" s="27" t="str">
        <x:v>wording_revision_recommended</x:v>
      </x:c>
      <x:c r="AE42" s="27" t="str">
        <x:v>Four of the Bradford Hill criteria were met which indicates that there is weak to moderate evidence of a causal association between all the psychological factors and disease activity.</x:v>
      </x:c>
      <x:c r="AF42" s="27" t="str">
        <x:v>The cited source reports that four of the Bradford Hill criteria were met which indicates that there is weak to moderate evidence of a causal association between all the psychological factors and disease activity.</x:v>
      </x:c>
      <x:c r="AG42" s="27" t="str">
        <x:v>State the measured outcome precisely and avoid treating symptom change, biomarkers, and inflammation as interchangeable.</x:v>
      </x:c>
      <x:c r="AH42" s="27" t="str">
        <x:v>verified_against_public_abstract</x:v>
      </x:c>
      <x:c r="AI42" s="27" t="str"/>
      <x:c r="AJ42" s="27" t="str">
        <x:v>Review the proposed wording and approve only if the source, population, disease state, and outcome limitation are acceptable.</x:v>
      </x:c>
      <x:c r="AK42" s="30" t="str"/>
      <x:c r="AL42" s="30" t="str"/>
      <x:c r="AM42" s="30" t="str"/>
    </x:row>
    <x:row r="43" ht="96" customHeight="1">
      <x:c r="A43" s="27" t="str">
        <x:v>CLM-039</x:v>
      </x:c>
      <x:c r="B43" s="27" t="str">
        <x:v>SRC-010</x:v>
      </x:c>
      <x:c r="C43" s="27" t="str">
        <x:v>Assessment of causal link between psychological factors and symptom exacerbation in inflammatory bowel disease: a systematic review utilising Bradford Hill criteria and meta-analysis of prospective cohort studies.</x:v>
      </x:c>
      <x:c r="D43" s="27" t="str">
        <x:v>review</x:v>
      </x:c>
      <x:c r="E43" s="27" t="str">
        <x:v>https://pubmed.ncbi.nlm.nih.gov/32738908/</x:v>
      </x:c>
      <x:c r="F43" s="27" t="str">
        <x:v>ibd_general</x:v>
      </x:c>
      <x:c r="G43" s="27" t="str">
        <x:v>general_or_unspecified</x:v>
      </x:c>
      <x:c r="H43" s="27" t="str">
        <x:v>stress_quality_of_life</x:v>
      </x:c>
      <x:c r="I43" s="27" t="str">
        <x:v>disease_activity</x:v>
      </x:c>
      <x:c r="J43" s="27" t="str">
        <x:v>Inconsistent results and a dearth of studies using the same tools for measuring psychological factors suggest the need for more research to be done to facilitate more conclusive findings.</x:v>
      </x:c>
      <x:c r="K43" s="27" t="str">
        <x:v>In plain terms, the source reports: Inconsistent results and a dearth of studies using the same tools for measuring psychological factors suggest the need for more research to be done to facilitate more conclusive findings.</x:v>
      </x:c>
      <x:c r="L43" s="27" t="str">
        <x:v>Background explanation with source citation and explicit uncertainty; never personalized diagnosis or treatment advice.</x:v>
      </x:c>
      <x:c r="M43" s="27" t="str">
        <x:v>Inconsistent results and a dearth of studies using the same tools for measuring psychological factors suggest the need for more research to be done to facilitate more conclusive findings.</x:v>
      </x:c>
      <x:c r="N43" s="27" t="str">
        <x:v>PubMed abstract</x:v>
      </x:c>
      <x:c r="O43" s="27" t="str"/>
      <x:c r="P43" s="27" t="str">
        <x:v>meta_analysis</x:v>
      </x:c>
      <x:c r="Q43" s="27" t="str">
        <x:v>meta-analysis</x:v>
      </x:c>
      <x:c r="R43" s="27" t="str">
        <x:v>People with IBD or source-defined population; details require full-text review</x:v>
      </x:c>
      <x:c r="S43" s="27" t="str">
        <x:v>Not reported in extracted metadata</x:v>
      </x:c>
      <x:c r="T43" s="27" t="str">
        <x:v>Not reported in abstract</x:v>
      </x:c>
      <x:c r="U43" s="27" t="str">
        <x:v>Diet, nutrition, or lifestyle exposure/intervention as specified by the source</x:v>
      </x:c>
      <x:c r="V43" s="27" t="str">
        <x:v>As specified by the source; not always reported in the abstract</x:v>
      </x:c>
      <x:c r="W43" s="27" t="str">
        <x:v>disease activity or topic-specific outcome as reported</x:v>
      </x:c>
      <x:c r="X43" s="27" t="str">
        <x:v>Automated metadata and passage extraction; full methods and tables require human review. Public full text available for deeper review.</x:v>
      </x:c>
      <x:c r="Y43" s="27" t="str">
        <x:v>Region was not clearly North American; practical transferability requires local dietetic and healthcare context.</x:v>
      </x:c>
      <x:c r="Z43" s="27" t="str">
        <x:v>Scientifically relevant to Canada/US if disease context and intervention are comparable; food availability, cuisine, fortification, cost, cultural fit, and healthcare delivery may differ.</x:v>
      </x:c>
      <x:c r="AA43" s="27" t="str">
        <x:v>high</x:v>
      </x:c>
      <x:c r="AB43" s="27" t="str">
        <x:v>deterministic sentence selection</x:v>
      </x:c>
      <x:c r="AC43" s="27" t="str">
        <x:v>pending_human_review</x:v>
      </x:c>
      <x:c r="AD43" s="27" t="str">
        <x:v>reject_recommended</x:v>
      </x:c>
      <x:c r="AE43" s="27" t="str">
        <x:v>Inconsistent results and a dearth of studies using the same tools for measuring psychological factors suggest the need for more research to be done to facilitate more conclusive findings.</x:v>
      </x:c>
      <x:c r="AF43" s="27" t="str"/>
      <x:c r="AG43" s="27" t="str">
        <x:v>This is a methods, background, sample-description, vague, or non-actionable sentence rather than a safe atomic evidence claim; or it falls outside the product's non-diagnostic, non-treatment scope.</x:v>
      </x:c>
      <x:c r="AH43" s="27" t="str">
        <x:v>verified_against_public_abstract</x:v>
      </x:c>
      <x:c r="AI43" s="27" t="str"/>
      <x:c r="AJ43" s="27" t="str">
        <x:v>Reject unless a reviewer identifies a distinct, directly supported informational use.</x:v>
      </x:c>
      <x:c r="AK43" s="30" t="str"/>
      <x:c r="AL43" s="30" t="str"/>
      <x:c r="AM43" s="30" t="str"/>
    </x:row>
    <x:row r="44" ht="96" customHeight="1">
      <x:c r="A44" s="27" t="str">
        <x:v>CLM-040</x:v>
      </x:c>
      <x:c r="B44" s="27" t="str">
        <x:v>SRC-010</x:v>
      </x:c>
      <x:c r="C44" s="27" t="str">
        <x:v>Assessment of causal link between psychological factors and symptom exacerbation in inflammatory bowel disease: a systematic review utilising Bradford Hill criteria and meta-analysis of prospective cohort studies.</x:v>
      </x:c>
      <x:c r="D44" s="27" t="str">
        <x:v>review</x:v>
      </x:c>
      <x:c r="E44" s="27" t="str">
        <x:v>https://pubmed.ncbi.nlm.nih.gov/32738908/</x:v>
      </x:c>
      <x:c r="F44" s="27" t="str">
        <x:v>ibd_general</x:v>
      </x:c>
      <x:c r="G44" s="27" t="str">
        <x:v>general_or_unspecified</x:v>
      </x:c>
      <x:c r="H44" s="27" t="str">
        <x:v>stress_quality_of_life</x:v>
      </x:c>
      <x:c r="I44" s="27" t="str">
        <x:v>symptoms</x:v>
      </x:c>
      <x:c r="J44"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K44" s="27" t="str">
        <x:v>In plain terms, the source reports: CONCLUSIONS: This original review utilising Bradford Hill criteria in addition to meta-analysis to evaluate the causality of relationship between psychological factors and symptom exacerbation in inflammatory bowel disease provides evidence that psychological factors have a weak to moderate causal involvement in inflammatory bowel disease symptom exacerbation.</x:v>
      </x:c>
      <x:c r="L44" s="27" t="str">
        <x:v>Background explanation with source citation and explicit uncertainty; never personalized diagnosis or treatment advice.</x:v>
      </x:c>
      <x:c r="M44"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N44" s="27" t="str">
        <x:v>PubMed abstract</x:v>
      </x:c>
      <x:c r="O44" s="27" t="str"/>
      <x:c r="P44" s="27" t="str">
        <x:v>meta_analysis</x:v>
      </x:c>
      <x:c r="Q44" s="27" t="str">
        <x:v>meta-analysis</x:v>
      </x:c>
      <x:c r="R44" s="27" t="str">
        <x:v>People with IBD or source-defined population; details require full-text review</x:v>
      </x:c>
      <x:c r="S44" s="27" t="str">
        <x:v>Not reported in extracted metadata</x:v>
      </x:c>
      <x:c r="T44" s="27" t="str">
        <x:v>Not reported in abstract</x:v>
      </x:c>
      <x:c r="U44" s="27" t="str">
        <x:v>Diet, nutrition, or lifestyle exposure/intervention as specified by the source</x:v>
      </x:c>
      <x:c r="V44" s="27" t="str">
        <x:v>As specified by the source; not always reported in the abstract</x:v>
      </x:c>
      <x:c r="W44" s="27" t="str">
        <x:v>symptoms</x:v>
      </x:c>
      <x:c r="X44" s="27" t="str">
        <x:v>Automated metadata and passage extraction; full methods and tables require human review. Public full text available for deeper review.</x:v>
      </x:c>
      <x:c r="Y44" s="27" t="str">
        <x:v>Region was not clearly North American; practical transferability requires local dietetic and healthcare context.</x:v>
      </x:c>
      <x:c r="Z44" s="27" t="str">
        <x:v>Scientifically relevant to Canada/US if disease context and intervention are comparable; food availability, cuisine, fortification, cost, cultural fit, and healthcare delivery may differ.</x:v>
      </x:c>
      <x:c r="AA44" s="27" t="str">
        <x:v>high</x:v>
      </x:c>
      <x:c r="AB44" s="27" t="str">
        <x:v>deterministic sentence selection</x:v>
      </x:c>
      <x:c r="AC44" s="27" t="str">
        <x:v>pending_human_review</x:v>
      </x:c>
      <x:c r="AD44" s="27" t="str">
        <x:v>wording_revision_recommended</x:v>
      </x:c>
      <x:c r="AE44"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AF44" s="27"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AG44" s="27" t="str">
        <x:v>State the measured outcome precisely and avoid treating symptom change, biomarkers, and inflammation as interchangeable.</x:v>
      </x:c>
      <x:c r="AH44" s="27" t="str">
        <x:v>verified_against_public_abstract</x:v>
      </x:c>
      <x:c r="AI44" s="27" t="str"/>
      <x:c r="AJ44" s="27" t="str">
        <x:v>Review the proposed wording and approve only if the source, population, disease state, and outcome limitation are acceptable.</x:v>
      </x:c>
      <x:c r="AK44" s="30" t="str"/>
      <x:c r="AL44" s="30" t="str"/>
      <x:c r="AM44" s="30" t="str"/>
    </x:row>
    <x:row r="45" ht="96" customHeight="1">
      <x:c r="A45" s="27" t="str">
        <x:v>CLM-041</x:v>
      </x:c>
      <x:c r="B45" s="27" t="str">
        <x:v>SRC-011</x:v>
      </x:c>
      <x:c r="C45" s="27" t="str">
        <x:v>Association of Dietary Fiber, Fruit, and Vegetable Consumption with Risk of Inflammatory Bowel Disease: A Systematic Review and Meta-Analysis.</x:v>
      </x:c>
      <x:c r="D45" s="27" t="str">
        <x:v>review</x:v>
      </x:c>
      <x:c r="E45" s="27" t="str">
        <x:v>https://pubmed.ncbi.nlm.nih.gov/33186988/</x:v>
      </x:c>
      <x:c r="F45" s="27" t="str">
        <x:v>ibd_general</x:v>
      </x:c>
      <x:c r="G45" s="27" t="str">
        <x:v>general_or_unspecified</x:v>
      </x:c>
      <x:c r="H45" s="27" t="str">
        <x:v>fruit_vegetables</x:v>
      </x:c>
      <x:c r="I45" s="27" t="str">
        <x:v>disease_activity</x:v>
      </x:c>
      <x:c r="J45" s="27" t="str">
        <x:v>In conclusion, dietary intake of fruit and vegetables was inversely associated with risk of IBD and its subtypes.</x:v>
      </x:c>
      <x:c r="K45" s="27" t="str">
        <x:v>In plain terms, the source reports: In conclusion, dietary intake of fruit and vegetables was inversely associated with risk of inflammatory bowel disease and its subtypes.</x:v>
      </x:c>
      <x:c r="L45" s="27" t="str">
        <x:v>Background explanation with source citation and explicit uncertainty; never personalized diagnosis or treatment advice.</x:v>
      </x:c>
      <x:c r="M45" s="27" t="str">
        <x:v>In conclusion, dietary intake of fruit and vegetables was inversely associated with risk of IBD and its subtypes.</x:v>
      </x:c>
      <x:c r="N45" s="27" t="str">
        <x:v>PubMed abstract</x:v>
      </x:c>
      <x:c r="O45" s="27" t="str"/>
      <x:c r="P45" s="27" t="str">
        <x:v>meta_analysis</x:v>
      </x:c>
      <x:c r="Q45" s="27" t="str">
        <x:v>meta-analysis</x:v>
      </x:c>
      <x:c r="R45" s="27" t="str">
        <x:v>People with IBD or source-defined population; details require full-text review</x:v>
      </x:c>
      <x:c r="S45" s="27" t="str">
        <x:v>Not reported in extracted metadata</x:v>
      </x:c>
      <x:c r="T45" s="27" t="str">
        <x:v>Not reported in abstract</x:v>
      </x:c>
      <x:c r="U45" s="27" t="str">
        <x:v>Diet, nutrition, or lifestyle exposure/intervention as specified by the source</x:v>
      </x:c>
      <x:c r="V45" s="27" t="str">
        <x:v>As specified by the source; not always reported in the abstract</x:v>
      </x:c>
      <x:c r="W45" s="27" t="str">
        <x:v>disease activity or topic-specific outcome as reported</x:v>
      </x:c>
      <x:c r="X45" s="27" t="str">
        <x:v>Automated metadata and passage extraction; full methods and tables require human review. Public full text available for deeper review.</x:v>
      </x:c>
      <x:c r="Y45" s="27" t="str">
        <x:v>Region was not clearly North American; practical transferability requires local dietetic and healthcare context.</x:v>
      </x:c>
      <x:c r="Z45" s="27" t="str">
        <x:v>Scientifically relevant to Canada/US if disease context and intervention are comparable; food availability, cuisine, fortification, cost, cultural fit, and healthcare delivery may differ.</x:v>
      </x:c>
      <x:c r="AA45" s="27" t="str">
        <x:v>high</x:v>
      </x:c>
      <x:c r="AB45" s="27" t="str">
        <x:v>deterministic sentence selection</x:v>
      </x:c>
      <x:c r="AC45" s="27" t="str">
        <x:v>pending_human_review</x:v>
      </x:c>
      <x:c r="AD45" s="27" t="str">
        <x:v>wording_revision_recommended</x:v>
      </x:c>
      <x:c r="AE45" s="27" t="str">
        <x:v>In conclusion, dietary intake of fruit and vegetables was inversely associated with risk of IBD and its subtypes.</x:v>
      </x:c>
      <x:c r="AF45" s="27" t="str">
        <x:v>The cited source reports that in conclusion, dietary intake of fruit and vegetables was inversely associated with risk of IBD and its subtypes. This is population-level association evidence and does not establish causation or predict an individual's disease course.</x:v>
      </x:c>
      <x:c r="AG45" s="27" t="str">
        <x:v>Keep the observational or incidence framing explicit; do not convert association into causal or individual disease-course advice.</x:v>
      </x:c>
      <x:c r="AH45" s="27" t="str">
        <x:v>verified_against_public_abstract</x:v>
      </x:c>
      <x:c r="AI45" s="27" t="str"/>
      <x:c r="AJ45" s="27" t="str">
        <x:v>Review the proposed wording and approve only if the source, population, disease state, and outcome limitation are acceptable.</x:v>
      </x:c>
      <x:c r="AK45" s="30" t="str"/>
      <x:c r="AL45" s="30" t="str"/>
      <x:c r="AM45" s="30" t="str"/>
    </x:row>
    <x:row r="46" ht="96" customHeight="1">
      <x:c r="A46" s="27" t="str">
        <x:v>CLM-042</x:v>
      </x:c>
      <x:c r="B46" s="27" t="str">
        <x:v>SRC-011</x:v>
      </x:c>
      <x:c r="C46" s="27" t="str">
        <x:v>Association of Dietary Fiber, Fruit, and Vegetable Consumption with Risk of Inflammatory Bowel Disease: A Systematic Review and Meta-Analysis.</x:v>
      </x:c>
      <x:c r="D46" s="27" t="str">
        <x:v>review</x:v>
      </x:c>
      <x:c r="E46" s="27" t="str">
        <x:v>https://pubmed.ncbi.nlm.nih.gov/33186988/</x:v>
      </x:c>
      <x:c r="F46" s="27" t="str">
        <x:v>ibd_general</x:v>
      </x:c>
      <x:c r="G46" s="27" t="str">
        <x:v>general_or_unspecified</x:v>
      </x:c>
      <x:c r="H46" s="27" t="str">
        <x:v>fibre</x:v>
      </x:c>
      <x:c r="I46" s="27" t="str">
        <x:v>disease_activity</x:v>
      </x:c>
      <x:c r="J46" s="27" t="str">
        <x:v>Dietary fiber intake was also inversely associated with incidence of IBD and CD, but not with UC.</x:v>
      </x:c>
      <x:c r="K46" s="27" t="str">
        <x:v>In plain terms, the source reports: Dietary fiber intake was also inversely associated with incidence of inflammatory bowel disease and CD, but not with UC.</x:v>
      </x:c>
      <x:c r="L46" s="27" t="str">
        <x:v>Background explanation with source citation and explicit uncertainty; never personalized diagnosis or treatment advice.</x:v>
      </x:c>
      <x:c r="M46" s="27" t="str">
        <x:v>Dietary fiber intake was also inversely associated with incidence of IBD and CD, but not with UC.</x:v>
      </x:c>
      <x:c r="N46" s="27" t="str">
        <x:v>PubMed abstract</x:v>
      </x:c>
      <x:c r="O46" s="27" t="str"/>
      <x:c r="P46" s="27" t="str">
        <x:v>meta_analysis</x:v>
      </x:c>
      <x:c r="Q46" s="27" t="str">
        <x:v>meta-analysis</x:v>
      </x:c>
      <x:c r="R46" s="27" t="str">
        <x:v>People with IBD or source-defined population; details require full-text review</x:v>
      </x:c>
      <x:c r="S46" s="27" t="str">
        <x:v>Not reported in extracted metadata</x:v>
      </x:c>
      <x:c r="T46" s="27" t="str">
        <x:v>Not reported in abstract</x:v>
      </x:c>
      <x:c r="U46" s="27" t="str">
        <x:v>Diet, nutrition, or lifestyle exposure/intervention as specified by the source</x:v>
      </x:c>
      <x:c r="V46" s="27" t="str">
        <x:v>As specified by the source; not always reported in the abstract</x:v>
      </x:c>
      <x:c r="W46" s="27" t="str">
        <x:v>disease activity or topic-specific outcome as reported</x:v>
      </x:c>
      <x:c r="X46" s="27" t="str">
        <x:v>Automated metadata and passage extraction; full methods and tables require human review. Public full text available for deeper review.</x:v>
      </x:c>
      <x:c r="Y46" s="27" t="str">
        <x:v>Region was not clearly North American; practical transferability requires local dietetic and healthcare context.</x:v>
      </x:c>
      <x:c r="Z46" s="27" t="str">
        <x:v>Scientifically relevant to Canada/US if disease context and intervention are comparable; food availability, cuisine, fortification, cost, cultural fit, and healthcare delivery may differ.</x:v>
      </x:c>
      <x:c r="AA46" s="27" t="str">
        <x:v>high</x:v>
      </x:c>
      <x:c r="AB46" s="27" t="str">
        <x:v>deterministic sentence selection</x:v>
      </x:c>
      <x:c r="AC46" s="27" t="str">
        <x:v>pending_human_review</x:v>
      </x:c>
      <x:c r="AD46" s="27" t="str">
        <x:v>wording_revision_recommended</x:v>
      </x:c>
      <x:c r="AE46" s="27" t="str">
        <x:v>Dietary fiber intake was also inversely associated with incidence of IBD and CD, but not with UC.</x:v>
      </x:c>
      <x:c r="AF46" s="27" t="str">
        <x:v>The cited source reports that dietary fiber intake was also inversely associated with incidence of IBD and CD, but not with UC. This is population-level association evidence and does not establish causation or predict an individual's disease course.</x:v>
      </x:c>
      <x:c r="AG46" s="27" t="str">
        <x:v>Keep the observational or incidence framing explicit; do not convert association into causal or individual disease-course advice.</x:v>
      </x:c>
      <x:c r="AH46" s="27" t="str">
        <x:v>verified_against_public_abstract</x:v>
      </x:c>
      <x:c r="AI46" s="27" t="str"/>
      <x:c r="AJ46" s="27" t="str">
        <x:v>Review the proposed wording and approve only if the source, population, disease state, and outcome limitation are acceptable.</x:v>
      </x:c>
      <x:c r="AK46" s="30" t="str"/>
      <x:c r="AL46" s="30" t="str"/>
      <x:c r="AM46" s="30" t="str"/>
    </x:row>
    <x:row r="47" ht="96" customHeight="1">
      <x:c r="A47" s="27" t="str">
        <x:v>CLM-043</x:v>
      </x:c>
      <x:c r="B47" s="27" t="str">
        <x:v>SRC-011</x:v>
      </x:c>
      <x:c r="C47" s="27" t="str">
        <x:v>Association of Dietary Fiber, Fruit, and Vegetable Consumption with Risk of Inflammatory Bowel Disease: A Systematic Review and Meta-Analysis.</x:v>
      </x:c>
      <x:c r="D47" s="27" t="str">
        <x:v>review</x:v>
      </x:c>
      <x:c r="E47" s="27" t="str">
        <x:v>https://pubmed.ncbi.nlm.nih.gov/33186988/</x:v>
      </x:c>
      <x:c r="F47" s="27" t="str">
        <x:v>ibd_general</x:v>
      </x:c>
      <x:c r="G47" s="27" t="str">
        <x:v>general_or_unspecified</x:v>
      </x:c>
      <x:c r="H47" s="27" t="str">
        <x:v>fibre</x:v>
      </x:c>
      <x:c r="I47" s="27" t="str">
        <x:v>inflammation</x:v>
      </x:c>
      <x:c r="J47" s="27" t="str">
        <x:v>No previous investigation has summarized findings from prospective cohort studies on the association between dietary intake of fiber, fruit, and vegetables and risk of inflammatory bowel disease (IBD).</x:v>
      </x:c>
      <x:c r="K47" s="27" t="str">
        <x:v>In plain terms, the source reports: No previous investigation has summarized findings from prospective cohort studies on the association between dietary intake of fiber, fruit, and vegetables and risk of inflammatory bowel disease (inflammatory bowel disease).</x:v>
      </x:c>
      <x:c r="L47" s="27" t="str">
        <x:v>Background explanation with source citation and explicit uncertainty; never personalized diagnosis or treatment advice.</x:v>
      </x:c>
      <x:c r="M47" s="27" t="str">
        <x:v>No previous investigation has summarized findings from prospective cohort studies on the association between dietary intake of fiber, fruit, and vegetables and risk of inflammatory bowel disease (IBD).</x:v>
      </x:c>
      <x:c r="N47" s="27" t="str">
        <x:v>PubMed abstract</x:v>
      </x:c>
      <x:c r="O47" s="27" t="str"/>
      <x:c r="P47" s="27" t="str">
        <x:v>meta_analysis</x:v>
      </x:c>
      <x:c r="Q47" s="27" t="str">
        <x:v>meta-analysis</x:v>
      </x:c>
      <x:c r="R47" s="27" t="str">
        <x:v>People with IBD or source-defined population; details require full-text review</x:v>
      </x:c>
      <x:c r="S47" s="27" t="str">
        <x:v>Not reported in extracted metadata</x:v>
      </x:c>
      <x:c r="T47" s="27" t="str">
        <x:v>Not reported in abstract</x:v>
      </x:c>
      <x:c r="U47" s="27" t="str">
        <x:v>Diet, nutrition, or lifestyle exposure/intervention as specified by the source</x:v>
      </x:c>
      <x:c r="V47" s="27" t="str">
        <x:v>As specified by the source; not always reported in the abstract</x:v>
      </x:c>
      <x:c r="W47" s="27" t="str">
        <x:v>disease activity or topic-specific outcome as reported</x:v>
      </x:c>
      <x:c r="X47" s="27" t="str">
        <x:v>Automated metadata and passage extraction; full methods and tables require human review. Public full text available for deeper review.</x:v>
      </x:c>
      <x:c r="Y47" s="27" t="str">
        <x:v>Region was not clearly North American; practical transferability requires local dietetic and healthcare context.</x:v>
      </x:c>
      <x:c r="Z47" s="27" t="str">
        <x:v>Scientifically relevant to Canada/US if disease context and intervention are comparable; food availability, cuisine, fortification, cost, cultural fit, and healthcare delivery may differ.</x:v>
      </x:c>
      <x:c r="AA47" s="27" t="str">
        <x:v>high</x:v>
      </x:c>
      <x:c r="AB47" s="27" t="str">
        <x:v>deterministic sentence selection</x:v>
      </x:c>
      <x:c r="AC47" s="27" t="str">
        <x:v>pending_human_review</x:v>
      </x:c>
      <x:c r="AD47" s="27" t="str">
        <x:v>reject_recommended</x:v>
      </x:c>
      <x:c r="AE47" s="27" t="str">
        <x:v>No previous investigation has summarized findings from prospective cohort studies on the association between dietary intake of fiber, fruit, and vegetables and risk of inflammatory bowel disease (IBD).</x:v>
      </x:c>
      <x:c r="AF47" s="27" t="str"/>
      <x:c r="AG47" s="27" t="str">
        <x:v>This is a methods, background, sample-description, vague, or non-actionable sentence rather than a safe atomic evidence claim; or it falls outside the product's non-diagnostic, non-treatment scope.</x:v>
      </x:c>
      <x:c r="AH47" s="27" t="str">
        <x:v>verified_against_public_abstract</x:v>
      </x:c>
      <x:c r="AI47" s="27" t="str"/>
      <x:c r="AJ47" s="27" t="str">
        <x:v>Reject unless a reviewer identifies a distinct, directly supported informational use.</x:v>
      </x:c>
      <x:c r="AK47" s="30" t="str"/>
      <x:c r="AL47" s="30" t="str"/>
      <x:c r="AM47" s="30" t="str"/>
    </x:row>
    <x:row r="48" ht="96" customHeight="1">
      <x:c r="A48" s="27" t="str">
        <x:v>CLM-044</x:v>
      </x:c>
      <x:c r="B48" s="27" t="str">
        <x:v>SRC-011</x:v>
      </x:c>
      <x:c r="C48" s="27" t="str">
        <x:v>Association of Dietary Fiber, Fruit, and Vegetable Consumption with Risk of Inflammatory Bowel Disease: A Systematic Review and Meta-Analysis.</x:v>
      </x:c>
      <x:c r="D48" s="27" t="str">
        <x:v>review</x:v>
      </x:c>
      <x:c r="E48" s="27" t="str">
        <x:v>https://pubmed.ncbi.nlm.nih.gov/33186988/</x:v>
      </x:c>
      <x:c r="F48" s="27" t="str">
        <x:v>ibd_general</x:v>
      </x:c>
      <x:c r="G48" s="27" t="str">
        <x:v>general_or_unspecified</x:v>
      </x:c>
      <x:c r="H48" s="27" t="str">
        <x:v>fibre</x:v>
      </x:c>
      <x:c r="I48" s="27" t="str">
        <x:v>disease_activity</x:v>
      </x:c>
      <x:c r="J48" s="27" t="str">
        <x:v>Dietary fiber and its major sources can influence the risk of IBD by modulation of the gut microbiota.</x:v>
      </x:c>
      <x:c r="K48" s="27" t="str">
        <x:v>In plain terms, the source reports: Dietary fiber and its major sources can influence the risk of inflammatory bowel disease by modulation of the gut microbiota.</x:v>
      </x:c>
      <x:c r="L48" s="27" t="str">
        <x:v>Background explanation with source citation and explicit uncertainty; never personalized diagnosis or treatment advice.</x:v>
      </x:c>
      <x:c r="M48" s="27" t="str">
        <x:v>Dietary fiber and its major sources can influence the risk of IBD by modulation of the gut microbiota.</x:v>
      </x:c>
      <x:c r="N48" s="27" t="str">
        <x:v>PubMed abstract</x:v>
      </x:c>
      <x:c r="O48" s="27" t="str"/>
      <x:c r="P48" s="27" t="str">
        <x:v>meta_analysis</x:v>
      </x:c>
      <x:c r="Q48" s="27" t="str">
        <x:v>meta-analysis</x:v>
      </x:c>
      <x:c r="R48" s="27" t="str">
        <x:v>People with IBD or source-defined population; details require full-text review</x:v>
      </x:c>
      <x:c r="S48" s="27" t="str">
        <x:v>Not reported in extracted metadata</x:v>
      </x:c>
      <x:c r="T48" s="27" t="str">
        <x:v>Not reported in abstract</x:v>
      </x:c>
      <x:c r="U48" s="27" t="str">
        <x:v>Diet, nutrition, or lifestyle exposure/intervention as specified by the source</x:v>
      </x:c>
      <x:c r="V48" s="27" t="str">
        <x:v>As specified by the source; not always reported in the abstract</x:v>
      </x:c>
      <x:c r="W48" s="27" t="str">
        <x:v>disease activity or topic-specific outcome as reported</x:v>
      </x:c>
      <x:c r="X48" s="27" t="str">
        <x:v>Automated metadata and passage extraction; full methods and tables require human review. Public full text available for deeper review.</x:v>
      </x:c>
      <x:c r="Y48" s="27" t="str">
        <x:v>Region was not clearly North American; practical transferability requires local dietetic and healthcare context.</x:v>
      </x:c>
      <x:c r="Z48" s="27" t="str">
        <x:v>Scientifically relevant to Canada/US if disease context and intervention are comparable; food availability, cuisine, fortification, cost, cultural fit, and healthcare delivery may differ.</x:v>
      </x:c>
      <x:c r="AA48" s="27" t="str">
        <x:v>high</x:v>
      </x:c>
      <x:c r="AB48" s="27" t="str">
        <x:v>deterministic sentence selection</x:v>
      </x:c>
      <x:c r="AC48" s="27" t="str">
        <x:v>pending_human_review</x:v>
      </x:c>
      <x:c r="AD48" s="27" t="str">
        <x:v>wording_revision_recommended</x:v>
      </x:c>
      <x:c r="AE48" s="27" t="str">
        <x:v>Dietary fiber and its major sources can influence the risk of IBD by modulation of the gut microbiota.</x:v>
      </x:c>
      <x:c r="AF48" s="27"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AG48" s="27" t="str">
        <x:v>Keep the observational or incidence framing explicit; do not convert association into causal or individual disease-course advice.</x:v>
      </x:c>
      <x:c r="AH48" s="27" t="str">
        <x:v>verified_against_public_abstract</x:v>
      </x:c>
      <x:c r="AI48" s="27" t="str"/>
      <x:c r="AJ48" s="27" t="str">
        <x:v>Review the proposed wording and approve only if the source, population, disease state, and outcome limitation are acceptable.</x:v>
      </x:c>
      <x:c r="AK48" s="30" t="str"/>
      <x:c r="AL48" s="30" t="str"/>
      <x:c r="AM48" s="30" t="str"/>
    </x:row>
    <x:row r="49" ht="96" customHeight="1">
      <x:c r="A49" s="27" t="str">
        <x:v>CLM-045</x:v>
      </x:c>
      <x:c r="B49" s="27" t="str">
        <x:v>SRC-012</x:v>
      </x:c>
      <x:c r="C49" s="27" t="str">
        <x:v>Efficacy and safety of probiotics in the induction and maintenance of inflammatory bowel disease remission: a systematic review and meta-analysis.</x:v>
      </x:c>
      <x:c r="D49" s="27" t="str">
        <x:v>review</x:v>
      </x:c>
      <x:c r="E49" s="27" t="str">
        <x:v>https://pubmed.ncbi.nlm.nih.gov/34872306/</x:v>
      </x:c>
      <x:c r="F49" s="27" t="str">
        <x:v>ulcerative_colitis; crohns_disease</x:v>
      </x:c>
      <x:c r="G49" s="27" t="str">
        <x:v>general_or_unspecified</x:v>
      </x:c>
      <x:c r="H49" s="27" t="str">
        <x:v>core_condition_knowledge</x:v>
      </x:c>
      <x:c r="I49" s="27" t="str">
        <x:v>disease_activity</x:v>
      </x:c>
      <x:c r="J49" s="27" t="str">
        <x:v>RESULTS: A total of ten RCTs were included, which included 777 patients with ulcerative colitis (UC) and Crohn's disease (CD).</x:v>
      </x:c>
      <x:c r="K49" s="27" t="str">
        <x:v>In plain terms, the source reports: RESULTS: A total of ten RCTs were included, which included 777 patients with ulcerative colitis (UC) and Crohn's disease (CD).</x:v>
      </x:c>
      <x:c r="L49" s="27" t="str">
        <x:v>Background explanation with source citation and explicit uncertainty; never personalized diagnosis or treatment advice.</x:v>
      </x:c>
      <x:c r="M49" s="27" t="str">
        <x:v>RESULTS: A total of ten RCTs were included, which included 777 patients with ulcerative colitis (UC) and Crohn's disease (CD).</x:v>
      </x:c>
      <x:c r="N49" s="27" t="str">
        <x:v>PubMed abstract</x:v>
      </x:c>
      <x:c r="O49" s="27" t="str"/>
      <x:c r="P49" s="27" t="str">
        <x:v>meta_analysis</x:v>
      </x:c>
      <x:c r="Q49" s="27" t="str">
        <x:v>meta-analysis</x:v>
      </x:c>
      <x:c r="R49" s="27" t="str">
        <x:v>People with IBD or source-defined population; details require full-text review</x:v>
      </x:c>
      <x:c r="S49" s="27" t="str">
        <x:v>777</x:v>
      </x:c>
      <x:c r="T49" s="27" t="str">
        <x:v>Not reported in abstract</x:v>
      </x:c>
      <x:c r="U49" s="27" t="str">
        <x:v>Diet, nutrition, or lifestyle exposure/intervention as specified by the source</x:v>
      </x:c>
      <x:c r="V49" s="27" t="str">
        <x:v>As specified by the source; not always reported in the abstract</x:v>
      </x:c>
      <x:c r="W49" s="27" t="str">
        <x:v>disease activity or topic-specific outcome as reported</x:v>
      </x:c>
      <x:c r="X49" s="27" t="str">
        <x:v>Automated metadata and passage extraction; full methods and tables require human review. Abstract-only record limits appraisal.</x:v>
      </x:c>
      <x:c r="Y49" s="27" t="str">
        <x:v>Region was not clearly North American; practical transferability requires local dietetic and healthcare context.</x:v>
      </x:c>
      <x:c r="Z49" s="27" t="str">
        <x:v>Scientifically relevant to Canada/US if disease context and intervention are comparable; food availability, cuisine, fortification, cost, cultural fit, and healthcare delivery may differ.</x:v>
      </x:c>
      <x:c r="AA49" s="27" t="str">
        <x:v>moderate</x:v>
      </x:c>
      <x:c r="AB49" s="27" t="str">
        <x:v>deterministic sentence selection</x:v>
      </x:c>
      <x:c r="AC49" s="27" t="str">
        <x:v>pending_human_review</x:v>
      </x:c>
      <x:c r="AD49" s="27" t="str">
        <x:v>reject_recommended</x:v>
      </x:c>
      <x:c r="AE49" s="27" t="str">
        <x:v>RESULTS: A total of ten RCTs were included, which included 777 patients with ulcerative colitis (UC) and Crohn's disease (CD).</x:v>
      </x:c>
      <x:c r="AF49" s="27" t="str"/>
      <x:c r="AG49" s="27" t="str">
        <x:v>This is a methods, background, sample-description, vague, or non-actionable sentence rather than a safe atomic evidence claim; or it falls outside the product's non-diagnostic, non-treatment scope.</x:v>
      </x:c>
      <x:c r="AH49" s="27" t="str">
        <x:v>verified_against_public_abstract</x:v>
      </x:c>
      <x:c r="AI49" s="27" t="str"/>
      <x:c r="AJ49" s="27" t="str">
        <x:v>Reject unless a reviewer identifies a distinct, directly supported informational use.</x:v>
      </x:c>
      <x:c r="AK49" s="30" t="str"/>
      <x:c r="AL49" s="30" t="str"/>
      <x:c r="AM49" s="30" t="str"/>
    </x:row>
    <x:row r="50" ht="96" customHeight="1">
      <x:c r="A50" s="27" t="str">
        <x:v>CLM-046</x:v>
      </x:c>
      <x:c r="B50" s="27" t="str">
        <x:v>SRC-012</x:v>
      </x:c>
      <x:c r="C50" s="27" t="str">
        <x:v>Efficacy and safety of probiotics in the induction and maintenance of inflammatory bowel disease remission: a systematic review and meta-analysis.</x:v>
      </x:c>
      <x:c r="D50" s="27" t="str">
        <x:v>review</x:v>
      </x:c>
      <x:c r="E50" s="27" t="str">
        <x:v>https://pubmed.ncbi.nlm.nih.gov/34872306/</x:v>
      </x:c>
      <x:c r="F50" s="27" t="str">
        <x:v>ibd_general</x:v>
      </x:c>
      <x:c r="G50" s="27" t="str">
        <x:v>remission</x:v>
      </x:c>
      <x:c r="H50" s="27" t="str">
        <x:v>probiotics_prebiotics</x:v>
      </x:c>
      <x:c r="I50" s="27" t="str">
        <x:v>remission_induction</x:v>
      </x:c>
      <x:c r="J50" s="27" t="str">
        <x:v>Probiotics have been widely used in the treatment of inflammatory bowel disease (IBD) due to their special conditioning effects on the intestinal flora, but their efficacy in inducing and maintaining remission is still controversial.</x:v>
      </x:c>
      <x:c r="K50" s="27" t="str">
        <x:v>In plain terms, the source reports: Probiotics have been widely used in the treatment of inflammatory bowel disease (inflammatory bowel disease) due to their special conditioning effects on the intestinal flora, but their efficacy in inducing and maintaining remission is still controversial.</x:v>
      </x:c>
      <x:c r="L50" s="27" t="str">
        <x:v>Background explanation with source citation and explicit uncertainty; never personalized diagnosis or treatment advice.</x:v>
      </x:c>
      <x:c r="M50" s="27" t="str">
        <x:v>Probiotics have been widely used in the treatment of inflammatory bowel disease (IBD) due to their special conditioning effects on the intestinal flora, but their efficacy in inducing and maintaining remission is still controversial.</x:v>
      </x:c>
      <x:c r="N50" s="27" t="str">
        <x:v>PubMed abstract</x:v>
      </x:c>
      <x:c r="O50" s="27" t="str"/>
      <x:c r="P50" s="27" t="str">
        <x:v>meta_analysis</x:v>
      </x:c>
      <x:c r="Q50" s="27" t="str">
        <x:v>meta-analysis</x:v>
      </x:c>
      <x:c r="R50" s="27" t="str">
        <x:v>People with IBD or source-defined population; details require full-text review</x:v>
      </x:c>
      <x:c r="S50" s="27" t="str">
        <x:v>777</x:v>
      </x:c>
      <x:c r="T50" s="27" t="str">
        <x:v>Not reported in abstract</x:v>
      </x:c>
      <x:c r="U50" s="27" t="str">
        <x:v>Diet, nutrition, or lifestyle exposure/intervention as specified by the source</x:v>
      </x:c>
      <x:c r="V50" s="27" t="str">
        <x:v>As specified by the source; not always reported in the abstract</x:v>
      </x:c>
      <x:c r="W50" s="27" t="str">
        <x:v>remission induction or maintenance (as specified)</x:v>
      </x:c>
      <x:c r="X50" s="27" t="str">
        <x:v>Automated metadata and passage extraction; full methods and tables require human review. Abstract-only record limits appraisal.</x:v>
      </x:c>
      <x:c r="Y50" s="27" t="str">
        <x:v>Region was not clearly North American; practical transferability requires local dietetic and healthcare context.</x:v>
      </x:c>
      <x:c r="Z50" s="27" t="str">
        <x:v>Scientifically relevant to Canada/US if disease context and intervention are comparable; food availability, cuisine, fortification, cost, cultural fit, and healthcare delivery may differ.</x:v>
      </x:c>
      <x:c r="AA50" s="27" t="str">
        <x:v>moderate</x:v>
      </x:c>
      <x:c r="AB50" s="27" t="str">
        <x:v>deterministic sentence selection</x:v>
      </x:c>
      <x:c r="AC50" s="27" t="str">
        <x:v>pending_human_review</x:v>
      </x:c>
      <x:c r="AD50" s="27" t="str">
        <x:v>wording_revision_recommended</x:v>
      </x:c>
      <x:c r="AE50" s="27" t="str">
        <x:v>Probiotics have been widely used in the treatment of inflammatory bowel disease (IBD) due to their special conditioning effects on the intestinal flora, but their efficacy in inducing and maintaining remission is still controversial.</x:v>
      </x:c>
      <x:c r="AF50" s="27"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AG50" s="27" t="str">
        <x:v>Attribute the statement to the source and retain disease-state, population, evidence-strength, and clinician/dietitian context so it is not personalized treatment advice.</x:v>
      </x:c>
      <x:c r="AH50" s="27" t="str">
        <x:v>verified_against_public_abstract</x:v>
      </x:c>
      <x:c r="AI50" s="27" t="str"/>
      <x:c r="AJ50" s="27" t="str">
        <x:v>Review the proposed wording and approve only if the source, population, disease state, and outcome limitation are acceptable.</x:v>
      </x:c>
      <x:c r="AK50" s="30" t="str"/>
      <x:c r="AL50" s="30" t="str"/>
      <x:c r="AM50" s="30" t="str"/>
    </x:row>
    <x:row r="51" ht="96" customHeight="1">
      <x:c r="A51" s="27" t="str">
        <x:v>CLM-047</x:v>
      </x:c>
      <x:c r="B51" s="27" t="str">
        <x:v>SRC-012</x:v>
      </x:c>
      <x:c r="C51" s="27" t="str">
        <x:v>Efficacy and safety of probiotics in the induction and maintenance of inflammatory bowel disease remission: a systematic review and meta-analysis.</x:v>
      </x:c>
      <x:c r="D51" s="27" t="str">
        <x:v>review</x:v>
      </x:c>
      <x:c r="E51" s="27" t="str">
        <x:v>https://pubmed.ncbi.nlm.nih.gov/34872306/</x:v>
      </x:c>
      <x:c r="F51" s="27" t="str">
        <x:v>ibd_general</x:v>
      </x:c>
      <x:c r="G51" s="27" t="str">
        <x:v>active_disease; remission</x:v>
      </x:c>
      <x:c r="H51" s="27" t="str">
        <x:v>probiotics_prebiotics</x:v>
      </x:c>
      <x:c r="I51" s="27" t="str">
        <x:v>remission_maintenance</x:v>
      </x:c>
      <x:c r="J51" s="27" t="str">
        <x:v>In the present study, we analyzed randomized controlled trials (RCTs) on the treatment of probiotics in IBD to systematically evaluate the efficacy of probiotics on the induction and maintenance of remission of IBD.</x:v>
      </x:c>
      <x:c r="K51" s="27" t="str">
        <x:v>In plain terms, the source reports: In the present study, we analyzed randomized controlled trials (RCTs) on the treatment of probiotics in inflammatory bowel disease to systematically evaluate the efficacy of probiotics on the induction and maintenance of remission of inflammatory bowel disease.</x:v>
      </x:c>
      <x:c r="L51" s="27" t="str">
        <x:v>Background explanation with source citation and explicit uncertainty; never personalized diagnosis or treatment advice.</x:v>
      </x:c>
      <x:c r="M51" s="27" t="str">
        <x:v>In the present study, we analyzed randomized controlled trials (RCTs) on the treatment of probiotics in IBD to systematically evaluate the efficacy of probiotics on the induction and maintenance of remission of IBD.</x:v>
      </x:c>
      <x:c r="N51" s="27" t="str">
        <x:v>PubMed abstract</x:v>
      </x:c>
      <x:c r="O51" s="27" t="str"/>
      <x:c r="P51" s="27" t="str">
        <x:v>meta_analysis</x:v>
      </x:c>
      <x:c r="Q51" s="27" t="str">
        <x:v>meta-analysis</x:v>
      </x:c>
      <x:c r="R51" s="27" t="str">
        <x:v>People with IBD or source-defined population; details require full-text review</x:v>
      </x:c>
      <x:c r="S51" s="27" t="str">
        <x:v>777</x:v>
      </x:c>
      <x:c r="T51" s="27" t="str">
        <x:v>Not reported in abstract</x:v>
      </x:c>
      <x:c r="U51" s="27" t="str">
        <x:v>Diet, nutrition, or lifestyle exposure/intervention as specified by the source</x:v>
      </x:c>
      <x:c r="V51" s="27" t="str">
        <x:v>As specified by the source; not always reported in the abstract</x:v>
      </x:c>
      <x:c r="W51" s="27" t="str">
        <x:v>remission induction or maintenance (as specified)</x:v>
      </x:c>
      <x:c r="X51" s="27" t="str">
        <x:v>Automated metadata and passage extraction; full methods and tables require human review. Abstract-only record limits appraisal.</x:v>
      </x:c>
      <x:c r="Y51" s="27" t="str">
        <x:v>Region was not clearly North American; practical transferability requires local dietetic and healthcare context.</x:v>
      </x:c>
      <x:c r="Z51" s="27" t="str">
        <x:v>Scientifically relevant to Canada/US if disease context and intervention are comparable; food availability, cuisine, fortification, cost, cultural fit, and healthcare delivery may differ.</x:v>
      </x:c>
      <x:c r="AA51" s="27" t="str">
        <x:v>moderate</x:v>
      </x:c>
      <x:c r="AB51" s="27" t="str">
        <x:v>deterministic sentence selection</x:v>
      </x:c>
      <x:c r="AC51" s="27" t="str">
        <x:v>pending_human_review</x:v>
      </x:c>
      <x:c r="AD51" s="27" t="str">
        <x:v>reject_recommended</x:v>
      </x:c>
      <x:c r="AE51" s="27" t="str">
        <x:v>In the present study, we analyzed randomized controlled trials (RCTs) on the treatment of probiotics in IBD to systematically evaluate the efficacy of probiotics on the induction and maintenance of remission of IBD.</x:v>
      </x:c>
      <x:c r="AF51" s="27" t="str"/>
      <x:c r="AG51" s="27" t="str">
        <x:v>This is a methods, background, sample-description, vague, or non-actionable sentence rather than a safe atomic evidence claim; or it falls outside the product's non-diagnostic, non-treatment scope.</x:v>
      </x:c>
      <x:c r="AH51" s="27" t="str">
        <x:v>verified_against_public_abstract</x:v>
      </x:c>
      <x:c r="AI51" s="27" t="str"/>
      <x:c r="AJ51" s="27" t="str">
        <x:v>Reject unless a reviewer identifies a distinct, directly supported informational use.</x:v>
      </x:c>
      <x:c r="AK51" s="30" t="str"/>
      <x:c r="AL51" s="30" t="str"/>
      <x:c r="AM51" s="30" t="str"/>
    </x:row>
    <x:row r="52" ht="96" customHeight="1">
      <x:c r="A52" s="27" t="str">
        <x:v>CLM-048</x:v>
      </x:c>
      <x:c r="B52" s="27" t="str">
        <x:v>SRC-012</x:v>
      </x:c>
      <x:c r="C52" s="27" t="str">
        <x:v>Efficacy and safety of probiotics in the induction and maintenance of inflammatory bowel disease remission: a systematic review and meta-analysis.</x:v>
      </x:c>
      <x:c r="D52" s="27" t="str">
        <x:v>review</x:v>
      </x:c>
      <x:c r="E52" s="27" t="str">
        <x:v>https://pubmed.ncbi.nlm.nih.gov/34872306/</x:v>
      </x:c>
      <x:c r="F52" s="27" t="str">
        <x:v>ulcerative_colitis; crohns_disease; ibd_general</x:v>
      </x:c>
      <x:c r="G52" s="27" t="str">
        <x:v>remission</x:v>
      </x:c>
      <x:c r="H52" s="27" t="str">
        <x:v>probiotics_prebiotics</x:v>
      </x:c>
      <x:c r="I52" s="27" t="str">
        <x:v>disease_activity</x:v>
      </x:c>
      <x:c r="J52" s="27" t="str">
        <x:v>Meta-analysis showed that there was no significant difference between the clinical recurrence rate of probiotics in the CD remission phase and the control group [relative risk (RR): 0.80, 95% confidence interval (CI): 0.61-1.06, P=0.12].</x:v>
      </x:c>
      <x:c r="K52" s="27" t="str">
        <x:v>In plain terms, the source reports: Meta-analysis showed that there was no significant difference between the clinical recurrence rate of probiotics in the CD remission phase and the control group [relative risk (RR): 0.80, 95% confidence interval (CI): 0.61-1.06, P=0.12].</x:v>
      </x:c>
      <x:c r="L52" s="27" t="str">
        <x:v>Background explanation with source citation and explicit uncertainty; never personalized diagnosis or treatment advice.</x:v>
      </x:c>
      <x:c r="M52" s="27" t="str">
        <x:v>Meta-analysis showed that there was no significant difference between the clinical recurrence rate of probiotics in the CD remission phase and the control group [relative risk (RR): 0.80, 95% confidence interval (CI): 0.61-1.06, P=0.12].</x:v>
      </x:c>
      <x:c r="N52" s="27" t="str">
        <x:v>PubMed abstract</x:v>
      </x:c>
      <x:c r="O52" s="27" t="str"/>
      <x:c r="P52" s="27" t="str">
        <x:v>meta_analysis</x:v>
      </x:c>
      <x:c r="Q52" s="27" t="str">
        <x:v>meta-analysis</x:v>
      </x:c>
      <x:c r="R52" s="27" t="str">
        <x:v>People with IBD or source-defined population; details require full-text review</x:v>
      </x:c>
      <x:c r="S52" s="27" t="str">
        <x:v>777</x:v>
      </x:c>
      <x:c r="T52" s="27" t="str">
        <x:v>Not reported in abstract</x:v>
      </x:c>
      <x:c r="U52" s="27" t="str">
        <x:v>Diet, nutrition, or lifestyle exposure/intervention as specified by the source</x:v>
      </x:c>
      <x:c r="V52" s="27" t="str">
        <x:v>As specified by the source; not always reported in the abstract</x:v>
      </x:c>
      <x:c r="W52" s="27" t="str">
        <x:v>remission induction or maintenance (as specified)</x:v>
      </x:c>
      <x:c r="X52" s="27" t="str">
        <x:v>Automated metadata and passage extraction; full methods and tables require human review. Abstract-only record limits appraisal.</x:v>
      </x:c>
      <x:c r="Y52" s="27" t="str">
        <x:v>Region was not clearly North American; practical transferability requires local dietetic and healthcare context.</x:v>
      </x:c>
      <x:c r="Z52" s="27" t="str">
        <x:v>Scientifically relevant to Canada/US if disease context and intervention are comparable; food availability, cuisine, fortification, cost, cultural fit, and healthcare delivery may differ.</x:v>
      </x:c>
      <x:c r="AA52" s="27" t="str">
        <x:v>moderate</x:v>
      </x:c>
      <x:c r="AB52" s="27" t="str">
        <x:v>deterministic sentence selection</x:v>
      </x:c>
      <x:c r="AC52" s="27" t="str">
        <x:v>pending_human_review</x:v>
      </x:c>
      <x:c r="AD52" s="27" t="str">
        <x:v>wording_revision_recommended</x:v>
      </x:c>
      <x:c r="AE52" s="27" t="str">
        <x:v>Meta-analysis showed that there was no significant difference between the clinical recurrence rate of probiotics in the CD remission phase and the control group [relative risk (RR): 0.80, 95% confidence interval (CI): 0.61-1.06, P=0.12].</x:v>
      </x:c>
      <x:c r="AF52" s="27"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AG52" s="27" t="str">
        <x:v>Keep the observational or incidence framing explicit; do not convert association into causal or individual disease-course advice.</x:v>
      </x:c>
      <x:c r="AH52" s="27" t="str">
        <x:v>verified_against_public_abstract</x:v>
      </x:c>
      <x:c r="AI52" s="27" t="str"/>
      <x:c r="AJ52" s="27" t="str">
        <x:v>Review the proposed wording and approve only if the source, population, disease state, and outcome limitation are acceptable.</x:v>
      </x:c>
      <x:c r="AK52" s="30" t="str"/>
      <x:c r="AL52" s="30" t="str"/>
      <x:c r="AM52" s="30" t="str"/>
    </x:row>
    <x:row r="53" ht="96" customHeight="1">
      <x:c r="A53" s="27" t="str">
        <x:v>CLM-049</x:v>
      </x:c>
      <x:c r="B53" s="27" t="str">
        <x:v>SRC-013</x:v>
      </x:c>
      <x:c r="C53" s="27" t="str">
        <x:v>Ultra-processed foods and food additives in gut health and disease.</x:v>
      </x:c>
      <x:c r="D53" s="27" t="str">
        <x:v>review</x:v>
      </x:c>
      <x:c r="E53" s="27" t="str">
        <x:v>https://pubmed.ncbi.nlm.nih.gov/38388570/</x:v>
      </x:c>
      <x:c r="F53" s="27" t="str">
        <x:v>ibd_general</x:v>
      </x:c>
      <x:c r="G53" s="27" t="str">
        <x:v>general_or_unspecified</x:v>
      </x:c>
      <x:c r="H53" s="27" t="str">
        <x:v>food_additives</x:v>
      </x:c>
      <x:c r="I53" s="27" t="str">
        <x:v>inflammation</x:v>
      </x:c>
      <x:c r="J53" s="27" t="str">
        <x:v>For example, evidence shows that some emulsifiers, sweeteners, colours, and microparticles and nanoparticles have effects on a range of outcomes, including the gut microbiome, intestinal permeability and intestinal inflammation.</x:v>
      </x:c>
      <x:c r="K53" s="27" t="str">
        <x:v>In plain terms, the source reports: For example, evidence shows that some emulsifiers, sweeteners, colours, and microparticles and nanoparticles have effects on a range of outcomes, including the gut microbiome, intestinal permeability and intestinal inflammation.</x:v>
      </x:c>
      <x:c r="L53" s="27" t="str">
        <x:v>Background explanation with source citation and explicit uncertainty; never personalized diagnosis or treatment advice.</x:v>
      </x:c>
      <x:c r="M53" s="27" t="str">
        <x:v>For example, evidence shows that some emulsifiers, sweeteners, colours, and microparticles and nanoparticles have effects on a range of outcomes, including the gut microbiome, intestinal permeability and intestinal inflammation.</x:v>
      </x:c>
      <x:c r="N53" s="27" t="str">
        <x:v>PubMed abstract</x:v>
      </x:c>
      <x:c r="O53" s="27" t="str"/>
      <x:c r="P53" s="27" t="str">
        <x:v>systematic_review</x:v>
      </x:c>
      <x:c r="Q53" s="27" t="str">
        <x:v>review</x:v>
      </x:c>
      <x:c r="R53" s="27" t="str">
        <x:v>People with IBD or source-defined population; details require full-text review</x:v>
      </x:c>
      <x:c r="S53" s="27" t="str">
        <x:v>Not reported in extracted metadata</x:v>
      </x:c>
      <x:c r="T53" s="27" t="str">
        <x:v>Not reported in abstract</x:v>
      </x:c>
      <x:c r="U53" s="27" t="str">
        <x:v>Diet, nutrition, or lifestyle exposure/intervention as specified by the source</x:v>
      </x:c>
      <x:c r="V53" s="27" t="str">
        <x:v>As specified by the source; not always reported in the abstract</x:v>
      </x:c>
      <x:c r="W53" s="27" t="str">
        <x:v>disease activity or topic-specific outcome as reported</x:v>
      </x:c>
      <x:c r="X53" s="27" t="str">
        <x:v>Automated metadata and passage extraction; full methods and tables require human review. Public full text available for deeper review.</x:v>
      </x:c>
      <x:c r="Y53" s="27" t="str">
        <x:v>Region was not clearly North American; practical transferability requires local dietetic and healthcare context.</x:v>
      </x:c>
      <x:c r="Z53" s="27" t="str">
        <x:v>Scientifically relevant to Canada/US if disease context and intervention are comparable; food availability, cuisine, fortification, cost, cultural fit, and healthcare delivery may differ.</x:v>
      </x:c>
      <x:c r="AA53" s="27" t="str">
        <x:v>high</x:v>
      </x:c>
      <x:c r="AB53" s="27" t="str">
        <x:v>deterministic sentence selection</x:v>
      </x:c>
      <x:c r="AC53" s="27" t="str">
        <x:v>pending_human_review</x:v>
      </x:c>
      <x:c r="AD53" s="27" t="str">
        <x:v>wording_revision_recommended</x:v>
      </x:c>
      <x:c r="AE53" s="27" t="str">
        <x:v>For example, evidence shows that some emulsifiers, sweeteners, colours, and microparticles and nanoparticles have effects on a range of outcomes, including the gut microbiome, intestinal permeability and intestinal inflammation.</x:v>
      </x:c>
      <x:c r="AF53" s="27"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AG53" s="27" t="str">
        <x:v>State the measured outcome precisely and avoid treating symptom change, biomarkers, and inflammation as interchangeable.</x:v>
      </x:c>
      <x:c r="AH53" s="27" t="str">
        <x:v>verified_against_public_abstract</x:v>
      </x:c>
      <x:c r="AI53" s="27" t="str"/>
      <x:c r="AJ53" s="27" t="str">
        <x:v>Review the proposed wording and approve only if the source, population, disease state, and outcome limitation are acceptable.</x:v>
      </x:c>
      <x:c r="AK53" s="30" t="str"/>
      <x:c r="AL53" s="30" t="str"/>
      <x:c r="AM53" s="30" t="str"/>
    </x:row>
    <x:row r="54" ht="96" customHeight="1">
      <x:c r="A54" s="27" t="str">
        <x:v>CLM-050</x:v>
      </x:c>
      <x:c r="B54" s="27" t="str">
        <x:v>SRC-013</x:v>
      </x:c>
      <x:c r="C54" s="27" t="str">
        <x:v>Ultra-processed foods and food additives in gut health and disease.</x:v>
      </x:c>
      <x:c r="D54" s="27" t="str">
        <x:v>review</x:v>
      </x:c>
      <x:c r="E54" s="27" t="str">
        <x:v>https://pubmed.ncbi.nlm.nih.gov/38388570/</x:v>
      </x:c>
      <x:c r="F54" s="27" t="str">
        <x:v>ibd_general</x:v>
      </x:c>
      <x:c r="G54" s="27" t="str">
        <x:v>general_or_unspecified</x:v>
      </x:c>
      <x:c r="H54" s="27" t="str">
        <x:v>food_additives</x:v>
      </x:c>
      <x:c r="I54" s="27" t="str">
        <x:v>disease_activity</x:v>
      </x:c>
      <x:c r="J54" s="27" t="str">
        <x:v>Broadly speaking, evidence for the effect of UPFs on gut disease comes from observational epidemiological studies, whereas, by contrast, evidence for the effect of food additives comes largely from preclinical studies conducted in vitro or in animal models.</x:v>
      </x:c>
      <x:c r="K54" s="27" t="str">
        <x:v>In plain terms, the source reports: Broadly speaking, evidence for the effect of UPFs on gut disease comes from observational epidemiological studies, whereas, by contrast, evidence for the effect of food additives comes largely from preclinical studies conducted in vitro or in animal models.</x:v>
      </x:c>
      <x:c r="L54" s="27" t="str">
        <x:v>Background explanation with source citation and explicit uncertainty; never personalized diagnosis or treatment advice.</x:v>
      </x:c>
      <x:c r="M54" s="27" t="str">
        <x:v>Broadly speaking, evidence for the effect of UPFs on gut disease comes from observational epidemiological studies, whereas, by contrast, evidence for the effect of food additives comes largely from preclinical studies conducted in vitro or in animal models.</x:v>
      </x:c>
      <x:c r="N54" s="27" t="str">
        <x:v>PubMed abstract</x:v>
      </x:c>
      <x:c r="O54" s="27" t="str"/>
      <x:c r="P54" s="27" t="str">
        <x:v>systematic_review</x:v>
      </x:c>
      <x:c r="Q54" s="27" t="str">
        <x:v>review</x:v>
      </x:c>
      <x:c r="R54" s="27" t="str">
        <x:v>People with IBD or source-defined population; details require full-text review</x:v>
      </x:c>
      <x:c r="S54" s="27" t="str">
        <x:v>Not reported in extracted metadata</x:v>
      </x:c>
      <x:c r="T54" s="27" t="str">
        <x:v>Not reported in abstract</x:v>
      </x:c>
      <x:c r="U54" s="27" t="str">
        <x:v>Diet, nutrition, or lifestyle exposure/intervention as specified by the source</x:v>
      </x:c>
      <x:c r="V54" s="27" t="str">
        <x:v>As specified by the source; not always reported in the abstract</x:v>
      </x:c>
      <x:c r="W54" s="27" t="str">
        <x:v>disease activity or topic-specific outcome as reported</x:v>
      </x:c>
      <x:c r="X54" s="27" t="str">
        <x:v>Automated metadata and passage extraction; full methods and tables require human review. Public full text available for deeper review.</x:v>
      </x:c>
      <x:c r="Y54" s="27" t="str">
        <x:v>Region was not clearly North American; practical transferability requires local dietetic and healthcare context.</x:v>
      </x:c>
      <x:c r="Z54" s="27" t="str">
        <x:v>Scientifically relevant to Canada/US if disease context and intervention are comparable; food availability, cuisine, fortification, cost, cultural fit, and healthcare delivery may differ.</x:v>
      </x:c>
      <x:c r="AA54" s="27" t="str">
        <x:v>high</x:v>
      </x:c>
      <x:c r="AB54" s="27" t="str">
        <x:v>deterministic sentence selection</x:v>
      </x:c>
      <x:c r="AC54" s="27" t="str">
        <x:v>pending_human_review</x:v>
      </x:c>
      <x:c r="AD54" s="27" t="str">
        <x:v>ready_for_review</x:v>
      </x:c>
      <x:c r="AE54" s="27" t="str">
        <x:v>Broadly speaking, evidence for the effect of UPFs on gut disease comes from observational epidemiological studies, whereas, by contrast, evidence for the effect of food additives comes largely from preclinical studies conducted in vitro or in animal models.</x:v>
      </x:c>
      <x:c r="AF54" s="27" t="str"/>
      <x:c r="AG54" s="27" t="str">
        <x:v>The statement is atomic, directly traceable, appropriately limited, and informational.</x:v>
      </x:c>
      <x:c r="AH54" s="27" t="str">
        <x:v>verified_against_public_abstract</x:v>
      </x:c>
      <x:c r="AI54" s="27" t="str"/>
      <x:c r="AJ54" s="27" t="str">
        <x:v>Review and decide; no automatic approval.</x:v>
      </x:c>
      <x:c r="AK54" s="30" t="str"/>
      <x:c r="AL54" s="30" t="str"/>
      <x:c r="AM54" s="30" t="str"/>
    </x:row>
    <x:row r="55" ht="96" customHeight="1">
      <x:c r="A55" s="27" t="str">
        <x:v>CLM-051</x:v>
      </x:c>
      <x:c r="B55" s="27" t="str">
        <x:v>SRC-013</x:v>
      </x:c>
      <x:c r="C55" s="27" t="str">
        <x:v>Ultra-processed foods and food additives in gut health and disease.</x:v>
      </x:c>
      <x:c r="D55" s="27" t="str">
        <x:v>review</x:v>
      </x:c>
      <x:c r="E55" s="27" t="str">
        <x:v>https://pubmed.ncbi.nlm.nih.gov/38388570/</x:v>
      </x:c>
      <x:c r="F55" s="27" t="str">
        <x:v>ibd_general</x:v>
      </x:c>
      <x:c r="G55" s="27" t="str">
        <x:v>general_or_unspecified</x:v>
      </x:c>
      <x:c r="H55" s="27" t="str">
        <x:v>core_condition_knowledge</x:v>
      </x:c>
      <x:c r="I55" s="27" t="str">
        <x:v>inflammation</x:v>
      </x:c>
      <x:c r="J55" s="27" t="str">
        <x:v>There is increasing evidence of an association between diets rich in UPFs and gut disease, including inflammatory bowel disease, colorectal cancer and irritable bowel syndrome.</x:v>
      </x:c>
      <x:c r="K55" s="27" t="str">
        <x:v>In plain terms, the source reports: There is increasing evidence of an association between diets rich in UPFs and gut disease, including inflammatory bowel disease, colorectal cancer and irritable bowel syndrome.</x:v>
      </x:c>
      <x:c r="L55" s="27" t="str">
        <x:v>Background explanation with source citation and explicit uncertainty; never personalized diagnosis or treatment advice.</x:v>
      </x:c>
      <x:c r="M55" s="27" t="str">
        <x:v>There is increasing evidence of an association between diets rich in UPFs and gut disease, including inflammatory bowel disease, colorectal cancer and irritable bowel syndrome.</x:v>
      </x:c>
      <x:c r="N55" s="27" t="str">
        <x:v>PubMed abstract</x:v>
      </x:c>
      <x:c r="O55" s="27" t="str"/>
      <x:c r="P55" s="27" t="str">
        <x:v>systematic_review</x:v>
      </x:c>
      <x:c r="Q55" s="27" t="str">
        <x:v>review</x:v>
      </x:c>
      <x:c r="R55" s="27" t="str">
        <x:v>People with IBD or source-defined population; details require full-text review</x:v>
      </x:c>
      <x:c r="S55" s="27" t="str">
        <x:v>Not reported in extracted metadata</x:v>
      </x:c>
      <x:c r="T55" s="27" t="str">
        <x:v>Not reported in abstract</x:v>
      </x:c>
      <x:c r="U55" s="27" t="str">
        <x:v>Diet, nutrition, or lifestyle exposure/intervention as specified by the source</x:v>
      </x:c>
      <x:c r="V55" s="27" t="str">
        <x:v>As specified by the source; not always reported in the abstract</x:v>
      </x:c>
      <x:c r="W55" s="27" t="str">
        <x:v>disease activity or topic-specific outcome as reported</x:v>
      </x:c>
      <x:c r="X55" s="27" t="str">
        <x:v>Automated metadata and passage extraction; full methods and tables require human review. Public full text available for deeper review.</x:v>
      </x:c>
      <x:c r="Y55" s="27" t="str">
        <x:v>Region was not clearly North American; practical transferability requires local dietetic and healthcare context.</x:v>
      </x:c>
      <x:c r="Z55" s="27" t="str">
        <x:v>Scientifically relevant to Canada/US if disease context and intervention are comparable; food availability, cuisine, fortification, cost, cultural fit, and healthcare delivery may differ.</x:v>
      </x:c>
      <x:c r="AA55" s="27" t="str">
        <x:v>high</x:v>
      </x:c>
      <x:c r="AB55" s="27" t="str">
        <x:v>deterministic sentence selection</x:v>
      </x:c>
      <x:c r="AC55" s="27" t="str">
        <x:v>pending_human_review</x:v>
      </x:c>
      <x:c r="AD55" s="27" t="str">
        <x:v>wording_revision_recommended</x:v>
      </x:c>
      <x:c r="AE55" s="27" t="str">
        <x:v>There is increasing evidence of an association between diets rich in UPFs and gut disease, including inflammatory bowel disease, colorectal cancer and irritable bowel syndrome.</x:v>
      </x:c>
      <x:c r="AF55" s="27"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AG55" s="27" t="str">
        <x:v>State the measured outcome precisely and avoid treating symptom change, biomarkers, and inflammation as interchangeable.</x:v>
      </x:c>
      <x:c r="AH55" s="27" t="str">
        <x:v>verified_against_public_abstract</x:v>
      </x:c>
      <x:c r="AI55" s="27" t="str"/>
      <x:c r="AJ55" s="27" t="str">
        <x:v>Review the proposed wording and approve only if the source, population, disease state, and outcome limitation are acceptable.</x:v>
      </x:c>
      <x:c r="AK55" s="30" t="str"/>
      <x:c r="AL55" s="30" t="str"/>
      <x:c r="AM55" s="30" t="str"/>
    </x:row>
    <x:row r="56" ht="96" customHeight="1">
      <x:c r="A56" s="27" t="str">
        <x:v>CLM-052</x:v>
      </x:c>
      <x:c r="B56" s="27" t="str">
        <x:v>SRC-013</x:v>
      </x:c>
      <x:c r="C56" s="27" t="str">
        <x:v>Ultra-processed foods and food additives in gut health and disease.</x:v>
      </x:c>
      <x:c r="D56" s="27" t="str">
        <x:v>review</x:v>
      </x:c>
      <x:c r="E56" s="27" t="str">
        <x:v>https://pubmed.ncbi.nlm.nih.gov/38388570/</x:v>
      </x:c>
      <x:c r="F56" s="27" t="str">
        <x:v>ibd_general</x:v>
      </x:c>
      <x:c r="G56" s="27" t="str">
        <x:v>general_or_unspecified</x:v>
      </x:c>
      <x:c r="H56" s="27" t="str">
        <x:v>food_additives</x:v>
      </x:c>
      <x:c r="I56" s="27" t="str">
        <x:v>disease_activity</x:v>
      </x:c>
      <x:c r="J56" s="27" t="str">
        <x:v>Hence, the aim of this article is to critically review the evidence for the effects of UPF and food additives on gut health and disease and to discuss the clinical application of these findings.</x:v>
      </x:c>
      <x:c r="K56" s="27" t="str">
        <x:v>In plain terms, the source reports: Hence, the aim of this article is to critically review the evidence for the effects of UPF and food additives on gut health and disease and to discuss the clinical application of these findings.</x:v>
      </x:c>
      <x:c r="L56" s="27" t="str">
        <x:v>Background explanation with source citation and explicit uncertainty; never personalized diagnosis or treatment advice.</x:v>
      </x:c>
      <x:c r="M56" s="27" t="str">
        <x:v>Hence, the aim of this article is to critically review the evidence for the effects of UPF and food additives on gut health and disease and to discuss the clinical application of these findings.</x:v>
      </x:c>
      <x:c r="N56" s="27" t="str">
        <x:v>PubMed abstract</x:v>
      </x:c>
      <x:c r="O56" s="27" t="str"/>
      <x:c r="P56" s="27" t="str">
        <x:v>systematic_review</x:v>
      </x:c>
      <x:c r="Q56" s="27" t="str">
        <x:v>review</x:v>
      </x:c>
      <x:c r="R56" s="27" t="str">
        <x:v>People with IBD or source-defined population; details require full-text review</x:v>
      </x:c>
      <x:c r="S56" s="27" t="str">
        <x:v>Not reported in extracted metadata</x:v>
      </x:c>
      <x:c r="T56" s="27" t="str">
        <x:v>Not reported in abstract</x:v>
      </x:c>
      <x:c r="U56" s="27" t="str">
        <x:v>Diet, nutrition, or lifestyle exposure/intervention as specified by the source</x:v>
      </x:c>
      <x:c r="V56" s="27" t="str">
        <x:v>As specified by the source; not always reported in the abstract</x:v>
      </x:c>
      <x:c r="W56" s="27" t="str">
        <x:v>disease activity or topic-specific outcome as reported</x:v>
      </x:c>
      <x:c r="X56" s="27" t="str">
        <x:v>Automated metadata and passage extraction; full methods and tables require human review. Public full text available for deeper review.</x:v>
      </x:c>
      <x:c r="Y56" s="27" t="str">
        <x:v>Region was not clearly North American; practical transferability requires local dietetic and healthcare context.</x:v>
      </x:c>
      <x:c r="Z56" s="27" t="str">
        <x:v>Scientifically relevant to Canada/US if disease context and intervention are comparable; food availability, cuisine, fortification, cost, cultural fit, and healthcare delivery may differ.</x:v>
      </x:c>
      <x:c r="AA56" s="27" t="str">
        <x:v>high</x:v>
      </x:c>
      <x:c r="AB56" s="27" t="str">
        <x:v>deterministic sentence selection</x:v>
      </x:c>
      <x:c r="AC56" s="27" t="str">
        <x:v>pending_human_review</x:v>
      </x:c>
      <x:c r="AD56" s="27" t="str">
        <x:v>reject_recommended</x:v>
      </x:c>
      <x:c r="AE56" s="27" t="str">
        <x:v>Hence, the aim of this article is to critically review the evidence for the effects of UPF and food additives on gut health and disease and to discuss the clinical application of these findings.</x:v>
      </x:c>
      <x:c r="AF56" s="27" t="str"/>
      <x:c r="AG56" s="27" t="str">
        <x:v>This is a methods, background, sample-description, vague, or non-actionable sentence rather than a safe atomic evidence claim; or it falls outside the product's non-diagnostic, non-treatment scope.</x:v>
      </x:c>
      <x:c r="AH56" s="27" t="str">
        <x:v>verified_against_public_abstract</x:v>
      </x:c>
      <x:c r="AI56" s="27" t="str"/>
      <x:c r="AJ56" s="27" t="str">
        <x:v>Reject unless a reviewer identifies a distinct, directly supported informational use.</x:v>
      </x:c>
      <x:c r="AK56" s="30" t="str"/>
      <x:c r="AL56" s="30" t="str"/>
      <x:c r="AM56" s="30" t="str"/>
    </x:row>
    <x:row r="57" ht="96" customHeight="1">
      <x:c r="A57" s="27" t="str">
        <x:v>CLM-053</x:v>
      </x:c>
      <x:c r="B57" s="27" t="str">
        <x:v>SRC-014</x:v>
      </x:c>
      <x:c r="C57" s="27" t="str">
        <x:v>Physical Activity is Associated with a Decreased Risk of Developing Inflammatory Bowel Disease: A Systematic Review and Meta-analysis.</x:v>
      </x:c>
      <x:c r="D57" s="27" t="str">
        <x:v>review</x:v>
      </x:c>
      <x:c r="E57" s="27" t="str">
        <x:v>https://pubmed.ncbi.nlm.nih.gov/38597690/</x:v>
      </x:c>
      <x:c r="F57" s="27" t="str">
        <x:v>ibd_general</x:v>
      </x:c>
      <x:c r="G57" s="27" t="str">
        <x:v>general_or_unspecified</x:v>
      </x:c>
      <x:c r="H57" s="27" t="str">
        <x:v>physical_activity</x:v>
      </x:c>
      <x:c r="I57" s="27" t="str">
        <x:v>disease_activity</x:v>
      </x:c>
      <x:c r="J57" s="27" t="str">
        <x:v>CONCLUSION: This meta-analysis suggests that physical activity is inversely associated with the risk of developing IBD, more so in CD than in UC.</x:v>
      </x:c>
      <x:c r="K57" s="27" t="str">
        <x:v>In plain terms, the source reports: CONCLUSION: This meta-analysis suggests that physical activity is inversely associated with the risk of developing inflammatory bowel disease, more so in CD than in UC.</x:v>
      </x:c>
      <x:c r="L57" s="27" t="str">
        <x:v>Background explanation with source citation and explicit uncertainty; never personalized diagnosis or treatment advice.</x:v>
      </x:c>
      <x:c r="M57" s="27" t="str">
        <x:v>CONCLUSION: This meta-analysis suggests that physical activity is inversely associated with the risk of developing IBD, more so in CD than in UC.</x:v>
      </x:c>
      <x:c r="N57" s="27" t="str">
        <x:v>PubMed abstract</x:v>
      </x:c>
      <x:c r="O57" s="27" t="str"/>
      <x:c r="P57" s="27" t="str">
        <x:v>meta_analysis</x:v>
      </x:c>
      <x:c r="Q57" s="27" t="str">
        <x:v>meta-analysis</x:v>
      </x:c>
      <x:c r="R57" s="27" t="str">
        <x:v>People with IBD or source-defined population; details require full-text review</x:v>
      </x:c>
      <x:c r="S57" s="27" t="str">
        <x:v>992</x:v>
      </x:c>
      <x:c r="T57" s="27" t="str">
        <x:v>Not reported in abstract</x:v>
      </x:c>
      <x:c r="U57" s="27" t="str">
        <x:v>Diet, nutrition, or lifestyle exposure/intervention as specified by the source</x:v>
      </x:c>
      <x:c r="V57" s="27" t="str">
        <x:v>As specified by the source; not always reported in the abstract</x:v>
      </x:c>
      <x:c r="W57" s="27" t="str">
        <x:v>disease activity or topic-specific outcome as reported</x:v>
      </x:c>
      <x:c r="X57" s="27" t="str">
        <x:v>Automated metadata and passage extraction; full methods and tables require human review. Abstract-only record limits appraisal.</x:v>
      </x:c>
      <x:c r="Y57" s="27" t="str">
        <x:v>Region was not clearly North American; practical transferability requires local dietetic and healthcare context.</x:v>
      </x:c>
      <x:c r="Z57" s="27" t="str">
        <x:v>Scientifically relevant to Canada/US if disease context and intervention are comparable; food availability, cuisine, fortification, cost, cultural fit, and healthcare delivery may differ.</x:v>
      </x:c>
      <x:c r="AA57" s="27" t="str">
        <x:v>moderate</x:v>
      </x:c>
      <x:c r="AB57" s="27" t="str">
        <x:v>deterministic sentence selection</x:v>
      </x:c>
      <x:c r="AC57" s="27" t="str">
        <x:v>pending_human_review</x:v>
      </x:c>
      <x:c r="AD57" s="27" t="str">
        <x:v>wording_revision_recommended</x:v>
      </x:c>
      <x:c r="AE57" s="27" t="str">
        <x:v>CONCLUSION: This meta-analysis suggests that physical activity is inversely associated with the risk of developing IBD, more so in CD than in UC.</x:v>
      </x:c>
      <x:c r="AF57" s="27"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AG57" s="27" t="str">
        <x:v>Keep the observational or incidence framing explicit; do not convert association into causal or individual disease-course advice.</x:v>
      </x:c>
      <x:c r="AH57" s="27" t="str">
        <x:v>verified_against_public_abstract</x:v>
      </x:c>
      <x:c r="AI57" s="27" t="str"/>
      <x:c r="AJ57" s="27" t="str">
        <x:v>Review the proposed wording and approve only if the source, population, disease state, and outcome limitation are acceptable.</x:v>
      </x:c>
      <x:c r="AK57" s="30" t="str"/>
      <x:c r="AL57" s="30" t="str"/>
      <x:c r="AM57" s="30" t="str"/>
    </x:row>
    <x:row r="58" ht="96" customHeight="1">
      <x:c r="A58" s="27" t="str">
        <x:v>CLM-054</x:v>
      </x:c>
      <x:c r="B58" s="27" t="str">
        <x:v>SRC-014</x:v>
      </x:c>
      <x:c r="C58" s="27" t="str">
        <x:v>Physical Activity is Associated with a Decreased Risk of Developing Inflammatory Bowel Disease: A Systematic Review and Meta-analysis.</x:v>
      </x:c>
      <x:c r="D58" s="27" t="str">
        <x:v>review</x:v>
      </x:c>
      <x:c r="E58" s="27" t="str">
        <x:v>https://pubmed.ncbi.nlm.nih.gov/38597690/</x:v>
      </x:c>
      <x:c r="F58" s="27" t="str">
        <x:v>ulcerative_colitis; crohns_disease; ibd_general</x:v>
      </x:c>
      <x:c r="G58" s="27" t="str">
        <x:v>general_or_unspecified</x:v>
      </x:c>
      <x:c r="H58" s="27" t="str">
        <x:v>core_condition_knowledge</x:v>
      </x:c>
      <x:c r="I58" s="27" t="str">
        <x:v>disease_activity</x:v>
      </x:c>
      <x:c r="J58" s="27" t="str">
        <x:v>We used the Grading of Recommendations Assessment, Development and Evaluation [GRADE] approach to assess the quality of evidence.</x:v>
      </x:c>
      <x:c r="K58" s="27" t="str">
        <x:v>In plain terms, the source reports: We used the Grading of Recommendations Assessment, Development and Evaluation [GRADE] approach to assess the quality of evidence.</x:v>
      </x:c>
      <x:c r="L58" s="27" t="str">
        <x:v>Background explanation with source citation and explicit uncertainty; never personalized diagnosis or treatment advice.</x:v>
      </x:c>
      <x:c r="M58" s="27" t="str">
        <x:v>We used the Grading of Recommendations Assessment, Development and Evaluation [GRADE] approach to assess the quality of evidence.</x:v>
      </x:c>
      <x:c r="N58" s="27" t="str">
        <x:v>PubMed abstract</x:v>
      </x:c>
      <x:c r="O58" s="27" t="str"/>
      <x:c r="P58" s="27" t="str">
        <x:v>meta_analysis</x:v>
      </x:c>
      <x:c r="Q58" s="27" t="str">
        <x:v>meta-analysis</x:v>
      </x:c>
      <x:c r="R58" s="27" t="str">
        <x:v>People with IBD or source-defined population; details require full-text review</x:v>
      </x:c>
      <x:c r="S58" s="27" t="str">
        <x:v>992</x:v>
      </x:c>
      <x:c r="T58" s="27" t="str">
        <x:v>Not reported in abstract</x:v>
      </x:c>
      <x:c r="U58" s="27" t="str">
        <x:v>Diet, nutrition, or lifestyle exposure/intervention as specified by the source</x:v>
      </x:c>
      <x:c r="V58" s="27" t="str">
        <x:v>As specified by the source; not always reported in the abstract</x:v>
      </x:c>
      <x:c r="W58" s="27" t="str">
        <x:v>disease activity or topic-specific outcome as reported</x:v>
      </x:c>
      <x:c r="X58" s="27" t="str">
        <x:v>Automated metadata and passage extraction; full methods and tables require human review. Abstract-only record limits appraisal.</x:v>
      </x:c>
      <x:c r="Y58" s="27" t="str">
        <x:v>Region was not clearly North American; practical transferability requires local dietetic and healthcare context.</x:v>
      </x:c>
      <x:c r="Z58" s="27" t="str">
        <x:v>Scientifically relevant to Canada/US if disease context and intervention are comparable; food availability, cuisine, fortification, cost, cultural fit, and healthcare delivery may differ.</x:v>
      </x:c>
      <x:c r="AA58" s="27" t="str">
        <x:v>moderate</x:v>
      </x:c>
      <x:c r="AB58" s="27" t="str">
        <x:v>deterministic sentence selection</x:v>
      </x:c>
      <x:c r="AC58" s="27" t="str">
        <x:v>pending_human_review</x:v>
      </x:c>
      <x:c r="AD58" s="27" t="str">
        <x:v>reject_recommended</x:v>
      </x:c>
      <x:c r="AE58" s="27" t="str">
        <x:v>We used the Grading of Recommendations Assessment, Development and Evaluation [GRADE] approach to assess the quality of evidence.</x:v>
      </x:c>
      <x:c r="AF58" s="27" t="str"/>
      <x:c r="AG58" s="27" t="str">
        <x:v>This is a methods, background, sample-description, vague, or non-actionable sentence rather than a safe atomic evidence claim; or it falls outside the product's non-diagnostic, non-treatment scope.</x:v>
      </x:c>
      <x:c r="AH58" s="27" t="str">
        <x:v>verified_against_public_abstract</x:v>
      </x:c>
      <x:c r="AI58" s="27" t="str"/>
      <x:c r="AJ58" s="27" t="str">
        <x:v>Reject unless a reviewer identifies a distinct, directly supported informational use.</x:v>
      </x:c>
      <x:c r="AK58" s="30" t="str"/>
      <x:c r="AL58" s="30" t="str"/>
      <x:c r="AM58" s="30" t="str"/>
    </x:row>
    <x:row r="59" ht="96" customHeight="1">
      <x:c r="A59" s="27" t="str">
        <x:v>CLM-055</x:v>
      </x:c>
      <x:c r="B59" s="27" t="str">
        <x:v>SRC-014</x:v>
      </x:c>
      <x:c r="C59" s="27" t="str">
        <x:v>Physical Activity is Associated with a Decreased Risk of Developing Inflammatory Bowel Disease: A Systematic Review and Meta-analysis.</x:v>
      </x:c>
      <x:c r="D59" s="27" t="str">
        <x:v>review</x:v>
      </x:c>
      <x:c r="E59" s="27" t="str">
        <x:v>https://pubmed.ncbi.nlm.nih.gov/38597690/</x:v>
      </x:c>
      <x:c r="F59" s="27" t="str">
        <x:v>ulcerative_colitis; crohns_disease; ibd_general</x:v>
      </x:c>
      <x:c r="G59" s="27" t="str">
        <x:v>general_or_unspecified</x:v>
      </x:c>
      <x:c r="H59" s="27" t="str">
        <x:v>core_condition_knowledge</x:v>
      </x:c>
      <x:c r="I59" s="27" t="str">
        <x:v>disease_activity</x:v>
      </x:c>
      <x:c r="J59" s="27" t="str">
        <x:v>RESULTS: Ten observational studies were included.</x:v>
      </x:c>
      <x:c r="K59" s="27" t="str">
        <x:v>In plain terms, the source reports: RESULTS: Ten observational studies were included.</x:v>
      </x:c>
      <x:c r="L59" s="27" t="str">
        <x:v>Background explanation with source citation and explicit uncertainty; never personalized diagnosis or treatment advice.</x:v>
      </x:c>
      <x:c r="M59" s="27" t="str">
        <x:v>RESULTS: Ten observational studies were included.</x:v>
      </x:c>
      <x:c r="N59" s="27" t="str">
        <x:v>PubMed abstract</x:v>
      </x:c>
      <x:c r="O59" s="27" t="str"/>
      <x:c r="P59" s="27" t="str">
        <x:v>meta_analysis</x:v>
      </x:c>
      <x:c r="Q59" s="27" t="str">
        <x:v>meta-analysis</x:v>
      </x:c>
      <x:c r="R59" s="27" t="str">
        <x:v>People with IBD or source-defined population; details require full-text review</x:v>
      </x:c>
      <x:c r="S59" s="27" t="str">
        <x:v>992</x:v>
      </x:c>
      <x:c r="T59" s="27" t="str">
        <x:v>Not reported in abstract</x:v>
      </x:c>
      <x:c r="U59" s="27" t="str">
        <x:v>Diet, nutrition, or lifestyle exposure/intervention as specified by the source</x:v>
      </x:c>
      <x:c r="V59" s="27" t="str">
        <x:v>As specified by the source; not always reported in the abstract</x:v>
      </x:c>
      <x:c r="W59" s="27" t="str">
        <x:v>disease activity or topic-specific outcome as reported</x:v>
      </x:c>
      <x:c r="X59" s="27" t="str">
        <x:v>Automated metadata and passage extraction; full methods and tables require human review. Abstract-only record limits appraisal.</x:v>
      </x:c>
      <x:c r="Y59" s="27" t="str">
        <x:v>Region was not clearly North American; practical transferability requires local dietetic and healthcare context.</x:v>
      </x:c>
      <x:c r="Z59" s="27" t="str">
        <x:v>Scientifically relevant to Canada/US if disease context and intervention are comparable; food availability, cuisine, fortification, cost, cultural fit, and healthcare delivery may differ.</x:v>
      </x:c>
      <x:c r="AA59" s="27" t="str">
        <x:v>moderate</x:v>
      </x:c>
      <x:c r="AB59" s="27" t="str">
        <x:v>deterministic sentence selection</x:v>
      </x:c>
      <x:c r="AC59" s="27" t="str">
        <x:v>pending_human_review</x:v>
      </x:c>
      <x:c r="AD59" s="27" t="str">
        <x:v>reject_recommended</x:v>
      </x:c>
      <x:c r="AE59" s="27" t="str">
        <x:v>RESULTS: Ten observational studies were included.</x:v>
      </x:c>
      <x:c r="AF59" s="27" t="str"/>
      <x:c r="AG59" s="27" t="str">
        <x:v>This is a methods, background, sample-description, vague, or non-actionable sentence rather than a safe atomic evidence claim; or it falls outside the product's non-diagnostic, non-treatment scope.</x:v>
      </x:c>
      <x:c r="AH59" s="27" t="str">
        <x:v>verified_against_public_abstract</x:v>
      </x:c>
      <x:c r="AI59" s="27" t="str"/>
      <x:c r="AJ59" s="27" t="str">
        <x:v>Reject unless a reviewer identifies a distinct, directly supported informational use.</x:v>
      </x:c>
      <x:c r="AK59" s="30" t="str"/>
      <x:c r="AL59" s="30" t="str"/>
      <x:c r="AM59" s="30" t="str"/>
    </x:row>
    <x:row r="60" ht="96" customHeight="1">
      <x:c r="A60" s="27" t="str">
        <x:v>CLM-056</x:v>
      </x:c>
      <x:c r="B60" s="27" t="str">
        <x:v>SRC-014</x:v>
      </x:c>
      <x:c r="C60" s="27" t="str">
        <x:v>Physical Activity is Associated with a Decreased Risk of Developing Inflammatory Bowel Disease: A Systematic Review and Meta-analysis.</x:v>
      </x:c>
      <x:c r="D60" s="27" t="str">
        <x:v>review</x:v>
      </x:c>
      <x:c r="E60" s="27" t="str">
        <x:v>https://pubmed.ncbi.nlm.nih.gov/38597690/</x:v>
      </x:c>
      <x:c r="F60" s="27" t="str">
        <x:v>ibd_general</x:v>
      </x:c>
      <x:c r="G60" s="27" t="str">
        <x:v>general_or_unspecified</x:v>
      </x:c>
      <x:c r="H60" s="27" t="str">
        <x:v>physical_activity</x:v>
      </x:c>
      <x:c r="I60" s="27" t="str">
        <x:v>inflammation</x:v>
      </x:c>
      <x:c r="J60" s="27" t="str">
        <x:v>BACKGROUND AND AIMS: Modifiable risk factors in inflammatory bowel disease [IBD], such as physical activity, may be used as prevention strategies.</x:v>
      </x:c>
      <x:c r="K60" s="27" t="str">
        <x:v>In plain terms, the source reports: BACKGROUND AND AIMS: Modifiable risk factors in inflammatory bowel disease [inflammatory bowel disease], such as physical activity, may be used as prevention strategies.</x:v>
      </x:c>
      <x:c r="L60" s="27" t="str">
        <x:v>Background explanation with source citation and explicit uncertainty; never personalized diagnosis or treatment advice.</x:v>
      </x:c>
      <x:c r="M60" s="27" t="str">
        <x:v>BACKGROUND AND AIMS: Modifiable risk factors in inflammatory bowel disease [IBD], such as physical activity, may be used as prevention strategies.</x:v>
      </x:c>
      <x:c r="N60" s="27" t="str">
        <x:v>PubMed abstract</x:v>
      </x:c>
      <x:c r="O60" s="27" t="str"/>
      <x:c r="P60" s="27" t="str">
        <x:v>meta_analysis</x:v>
      </x:c>
      <x:c r="Q60" s="27" t="str">
        <x:v>meta-analysis</x:v>
      </x:c>
      <x:c r="R60" s="27" t="str">
        <x:v>People with IBD or source-defined population; details require full-text review</x:v>
      </x:c>
      <x:c r="S60" s="27" t="str">
        <x:v>992</x:v>
      </x:c>
      <x:c r="T60" s="27" t="str">
        <x:v>Not reported in abstract</x:v>
      </x:c>
      <x:c r="U60" s="27" t="str">
        <x:v>Diet, nutrition, or lifestyle exposure/intervention as specified by the source</x:v>
      </x:c>
      <x:c r="V60" s="27" t="str">
        <x:v>As specified by the source; not always reported in the abstract</x:v>
      </x:c>
      <x:c r="W60" s="27" t="str">
        <x:v>disease activity or topic-specific outcome as reported</x:v>
      </x:c>
      <x:c r="X60" s="27" t="str">
        <x:v>Automated metadata and passage extraction; full methods and tables require human review. Abstract-only record limits appraisal.</x:v>
      </x:c>
      <x:c r="Y60" s="27" t="str">
        <x:v>Region was not clearly North American; practical transferability requires local dietetic and healthcare context.</x:v>
      </x:c>
      <x:c r="Z60" s="27" t="str">
        <x:v>Scientifically relevant to Canada/US if disease context and intervention are comparable; food availability, cuisine, fortification, cost, cultural fit, and healthcare delivery may differ.</x:v>
      </x:c>
      <x:c r="AA60" s="27" t="str">
        <x:v>moderate</x:v>
      </x:c>
      <x:c r="AB60" s="27" t="str">
        <x:v>deterministic sentence selection</x:v>
      </x:c>
      <x:c r="AC60" s="27" t="str">
        <x:v>pending_human_review</x:v>
      </x:c>
      <x:c r="AD60" s="27" t="str">
        <x:v>reject_recommended</x:v>
      </x:c>
      <x:c r="AE60" s="27" t="str">
        <x:v>BACKGROUND AND AIMS: Modifiable risk factors in inflammatory bowel disease [IBD], such as physical activity, may be used as prevention strategies.</x:v>
      </x:c>
      <x:c r="AF60" s="27" t="str"/>
      <x:c r="AG60" s="27" t="str">
        <x:v>This is a methods, background, sample-description, vague, or non-actionable sentence rather than a safe atomic evidence claim; or it falls outside the product's non-diagnostic, non-treatment scope.</x:v>
      </x:c>
      <x:c r="AH60" s="27" t="str">
        <x:v>verified_against_public_abstract</x:v>
      </x:c>
      <x:c r="AI60" s="27" t="str"/>
      <x:c r="AJ60" s="27" t="str">
        <x:v>Reject unless a reviewer identifies a distinct, directly supported informational use.</x:v>
      </x:c>
      <x:c r="AK60" s="30" t="str"/>
      <x:c r="AL60" s="30" t="str"/>
      <x:c r="AM60" s="30" t="str"/>
    </x:row>
    <x:row r="61" ht="96" customHeight="1">
      <x:c r="A61" s="27" t="str">
        <x:v>CLM-057</x:v>
      </x:c>
      <x:c r="B61" s="27" t="str">
        <x:v>SRC-015</x:v>
      </x:c>
      <x:c r="C61" s="27" t="str">
        <x:v>Environmental Risk Factors for Inflammatory Bowel Diseases: An Umbrella Review of Meta-analyses.</x:v>
      </x:c>
      <x:c r="D61" s="27" t="str">
        <x:v>review</x:v>
      </x:c>
      <x:c r="E61" s="27" t="str">
        <x:v>https://pubmed.ncbi.nlm.nih.gov/31014995/</x:v>
      </x:c>
      <x:c r="F61" s="27" t="str">
        <x:v>ibd_general</x:v>
      </x:c>
      <x:c r="G61" s="27" t="str">
        <x:v>general_or_unspecified</x:v>
      </x:c>
      <x:c r="H61" s="27" t="str">
        <x:v>core_condition_knowledge</x:v>
      </x:c>
      <x:c r="I61" s="27" t="str">
        <x:v>inflammation</x:v>
      </x:c>
      <x:c r="J61" s="27" t="str">
        <x:v>BACKGROUND &amp; AIMS: Multiple environmental factors have been associated with the development of inflammatory bowel diseases (IBDs).</x:v>
      </x:c>
      <x:c r="K61" s="27" t="str">
        <x:v>In plain terms, the source reports: BACKGROUND &amp; AIMS: Multiple environmental factors have been associated with the development of inflammatory bowel diseases (inflammatory bowel diseases).</x:v>
      </x:c>
      <x:c r="L61" s="27" t="str">
        <x:v>Background explanation with source citation and explicit uncertainty; never personalized diagnosis or treatment advice.</x:v>
      </x:c>
      <x:c r="M61" s="27" t="str">
        <x:v>BACKGROUND &amp; AIMS: Multiple environmental factors have been associated with the development of inflammatory bowel diseases (IBDs).</x:v>
      </x:c>
      <x:c r="N61" s="27" t="str">
        <x:v>PubMed abstract</x:v>
      </x:c>
      <x:c r="O61" s="27" t="str"/>
      <x:c r="P61" s="27" t="str">
        <x:v>meta_analysis</x:v>
      </x:c>
      <x:c r="Q61" s="27" t="str">
        <x:v>meta-analysis</x:v>
      </x:c>
      <x:c r="R61" s="27" t="str">
        <x:v>People with IBD or source-defined population; details require full-text review</x:v>
      </x:c>
      <x:c r="S61" s="27" t="str">
        <x:v>Not reported in extracted metadata</x:v>
      </x:c>
      <x:c r="T61" s="27" t="str">
        <x:v>Not reported in abstract</x:v>
      </x:c>
      <x:c r="U61" s="27" t="str">
        <x:v>Diet, nutrition, or lifestyle exposure/intervention as specified by the source</x:v>
      </x:c>
      <x:c r="V61" s="27" t="str">
        <x:v>As specified by the source; not always reported in the abstract</x:v>
      </x:c>
      <x:c r="W61" s="27" t="str">
        <x:v>disease activity or topic-specific outcome as reported</x:v>
      </x:c>
      <x:c r="X61" s="27" t="str">
        <x:v>Automated metadata and passage extraction; full methods and tables require human review. Abstract-only record limits appraisal.</x:v>
      </x:c>
      <x:c r="Y61" s="27" t="str">
        <x:v>Region was not clearly North American; practical transferability requires local dietetic and healthcare context.</x:v>
      </x:c>
      <x:c r="Z61" s="27" t="str">
        <x:v>Scientifically relevant to Canada/US if disease context and intervention are comparable; food availability, cuisine, fortification, cost, cultural fit, and healthcare delivery may differ.</x:v>
      </x:c>
      <x:c r="AA61" s="27" t="str">
        <x:v>moderate</x:v>
      </x:c>
      <x:c r="AB61" s="27" t="str">
        <x:v>deterministic sentence selection</x:v>
      </x:c>
      <x:c r="AC61" s="27" t="str">
        <x:v>pending_human_review</x:v>
      </x:c>
      <x:c r="AD61" s="27" t="str">
        <x:v>reject_recommended</x:v>
      </x:c>
      <x:c r="AE61" s="27" t="str">
        <x:v>BACKGROUND &amp; AIMS: Multiple environmental factors have been associated with the development of inflammatory bowel diseases (IBDs).</x:v>
      </x:c>
      <x:c r="AF61" s="27" t="str"/>
      <x:c r="AG61" s="27" t="str">
        <x:v>This is a methods, background, sample-description, vague, or non-actionable sentence rather than a safe atomic evidence claim; or it falls outside the product's non-diagnostic, non-treatment scope.</x:v>
      </x:c>
      <x:c r="AH61" s="27" t="str">
        <x:v>verified_against_public_abstract</x:v>
      </x:c>
      <x:c r="AI61" s="27" t="str"/>
      <x:c r="AJ61" s="27" t="str">
        <x:v>Reject unless a reviewer identifies a distinct, directly supported informational use.</x:v>
      </x:c>
      <x:c r="AK61" s="30" t="str"/>
      <x:c r="AL61" s="30" t="str"/>
      <x:c r="AM61" s="30" t="str"/>
    </x:row>
    <x:row r="62" ht="96" customHeight="1">
      <x:c r="A62" s="27" t="str">
        <x:v>CLM-058</x:v>
      </x:c>
      <x:c r="B62" s="27" t="str">
        <x:v>SRC-015</x:v>
      </x:c>
      <x:c r="C62" s="27" t="str">
        <x:v>Environmental Risk Factors for Inflammatory Bowel Diseases: An Umbrella Review of Meta-analyses.</x:v>
      </x:c>
      <x:c r="D62" s="27" t="str">
        <x:v>review</x:v>
      </x:c>
      <x:c r="E62" s="27" t="str">
        <x:v>https://pubmed.ncbi.nlm.nih.gov/31014995/</x:v>
      </x:c>
      <x:c r="F62" s="27" t="str">
        <x:v>ulcerative_colitis; crohns_disease; ibd_general</x:v>
      </x:c>
      <x:c r="G62" s="27" t="str">
        <x:v>general_or_unspecified</x:v>
      </x:c>
      <x:c r="H62" s="27" t="str">
        <x:v>core_condition_knowledge</x:v>
      </x:c>
      <x:c r="I62" s="27" t="str">
        <x:v>disease_activity</x:v>
      </x:c>
      <x:c r="J62" s="27" t="str">
        <x:v>We performed an umbrella review of meta-analyses to summarize available epidemiologic evidence and assess its credibility.</x:v>
      </x:c>
      <x:c r="K62" s="27" t="str">
        <x:v>In plain terms, the source reports: We performed an umbrella review of meta-analyses to summarize available epidemiologic evidence and assess its credibility.</x:v>
      </x:c>
      <x:c r="L62" s="27" t="str">
        <x:v>Background explanation with source citation and explicit uncertainty; never personalized diagnosis or treatment advice.</x:v>
      </x:c>
      <x:c r="M62" s="27" t="str">
        <x:v>We performed an umbrella review of meta-analyses to summarize available epidemiologic evidence and assess its credibility.</x:v>
      </x:c>
      <x:c r="N62" s="27" t="str">
        <x:v>PubMed abstract</x:v>
      </x:c>
      <x:c r="O62" s="27" t="str"/>
      <x:c r="P62" s="27" t="str">
        <x:v>meta_analysis</x:v>
      </x:c>
      <x:c r="Q62" s="27" t="str">
        <x:v>meta-analysis</x:v>
      </x:c>
      <x:c r="R62" s="27" t="str">
        <x:v>People with IBD or source-defined population; details require full-text review</x:v>
      </x:c>
      <x:c r="S62" s="27" t="str">
        <x:v>Not reported in extracted metadata</x:v>
      </x:c>
      <x:c r="T62" s="27" t="str">
        <x:v>Not reported in abstract</x:v>
      </x:c>
      <x:c r="U62" s="27" t="str">
        <x:v>Diet, nutrition, or lifestyle exposure/intervention as specified by the source</x:v>
      </x:c>
      <x:c r="V62" s="27" t="str">
        <x:v>As specified by the source; not always reported in the abstract</x:v>
      </x:c>
      <x:c r="W62" s="27" t="str">
        <x:v>disease activity or topic-specific outcome as reported</x:v>
      </x:c>
      <x:c r="X62" s="27" t="str">
        <x:v>Automated metadata and passage extraction; full methods and tables require human review. Abstract-only record limits appraisal.</x:v>
      </x:c>
      <x:c r="Y62" s="27" t="str">
        <x:v>Region was not clearly North American; practical transferability requires local dietetic and healthcare context.</x:v>
      </x:c>
      <x:c r="Z62" s="27" t="str">
        <x:v>Scientifically relevant to Canada/US if disease context and intervention are comparable; food availability, cuisine, fortification, cost, cultural fit, and healthcare delivery may differ.</x:v>
      </x:c>
      <x:c r="AA62" s="27" t="str">
        <x:v>moderate</x:v>
      </x:c>
      <x:c r="AB62" s="27" t="str">
        <x:v>deterministic sentence selection</x:v>
      </x:c>
      <x:c r="AC62" s="27" t="str">
        <x:v>pending_human_review</x:v>
      </x:c>
      <x:c r="AD62" s="27" t="str">
        <x:v>reject_recommended</x:v>
      </x:c>
      <x:c r="AE62" s="27" t="str">
        <x:v>We performed an umbrella review of meta-analyses to summarize available epidemiologic evidence and assess its credibility.</x:v>
      </x:c>
      <x:c r="AF62" s="27" t="str"/>
      <x:c r="AG62" s="27" t="str">
        <x:v>This is a methods, background, sample-description, vague, or non-actionable sentence rather than a safe atomic evidence claim; or it falls outside the product's non-diagnostic, non-treatment scope.</x:v>
      </x:c>
      <x:c r="AH62" s="27" t="str">
        <x:v>verified_against_public_abstract</x:v>
      </x:c>
      <x:c r="AI62" s="27" t="str"/>
      <x:c r="AJ62" s="27" t="str">
        <x:v>Reject unless a reviewer identifies a distinct, directly supported informational use.</x:v>
      </x:c>
      <x:c r="AK62" s="30" t="str"/>
      <x:c r="AL62" s="30" t="str"/>
      <x:c r="AM62" s="30" t="str"/>
    </x:row>
    <x:row r="63" ht="96" customHeight="1">
      <x:c r="A63" s="27" t="str">
        <x:v>CLM-059</x:v>
      </x:c>
      <x:c r="B63" s="27" t="str">
        <x:v>SRC-015</x:v>
      </x:c>
      <x:c r="C63" s="27" t="str">
        <x:v>Environmental Risk Factors for Inflammatory Bowel Diseases: An Umbrella Review of Meta-analyses.</x:v>
      </x:c>
      <x:c r="D63" s="27" t="str">
        <x:v>review</x:v>
      </x:c>
      <x:c r="E63" s="27" t="str">
        <x:v>https://pubmed.ncbi.nlm.nih.gov/31014995/</x:v>
      </x:c>
      <x:c r="F63" s="27" t="str">
        <x:v>ulcerative_colitis; crohns_disease; ibd_general</x:v>
      </x:c>
      <x:c r="G63" s="27" t="str">
        <x:v>general_or_unspecified</x:v>
      </x:c>
      <x:c r="H63" s="27" t="str">
        <x:v>core_condition_knowledge</x:v>
      </x:c>
      <x:c r="I63" s="27" t="str">
        <x:v>disease_activity</x:v>
      </x:c>
      <x:c r="J63" s="27" t="str">
        <x:v>For each meta-analysis, we considered the random effects estimate, its 95% confidence interval, the estimates of heterogeneity, and small-study effects, and we graded the evidence according to prespecified criteria.</x:v>
      </x:c>
      <x:c r="K63" s="27" t="str">
        <x:v>In plain terms, the source reports: For each meta-analysis, we considered the random effects estimate, its 95% confidence interval, the estimates of heterogeneity, and small-study effects, and we graded the evidence according to prespecified criteria.</x:v>
      </x:c>
      <x:c r="L63" s="27" t="str">
        <x:v>Background explanation with source citation and explicit uncertainty; never personalized diagnosis or treatment advice.</x:v>
      </x:c>
      <x:c r="M63" s="27" t="str">
        <x:v>For each meta-analysis, we considered the random effects estimate, its 95% confidence interval, the estimates of heterogeneity, and small-study effects, and we graded the evidence according to prespecified criteria.</x:v>
      </x:c>
      <x:c r="N63" s="27" t="str">
        <x:v>PubMed abstract</x:v>
      </x:c>
      <x:c r="O63" s="27" t="str"/>
      <x:c r="P63" s="27" t="str">
        <x:v>meta_analysis</x:v>
      </x:c>
      <x:c r="Q63" s="27" t="str">
        <x:v>meta-analysis</x:v>
      </x:c>
      <x:c r="R63" s="27" t="str">
        <x:v>People with IBD or source-defined population; details require full-text review</x:v>
      </x:c>
      <x:c r="S63" s="27" t="str">
        <x:v>Not reported in extracted metadata</x:v>
      </x:c>
      <x:c r="T63" s="27" t="str">
        <x:v>Not reported in abstract</x:v>
      </x:c>
      <x:c r="U63" s="27" t="str">
        <x:v>Diet, nutrition, or lifestyle exposure/intervention as specified by the source</x:v>
      </x:c>
      <x:c r="V63" s="27" t="str">
        <x:v>As specified by the source; not always reported in the abstract</x:v>
      </x:c>
      <x:c r="W63" s="27" t="str">
        <x:v>disease activity or topic-specific outcome as reported</x:v>
      </x:c>
      <x:c r="X63" s="27" t="str">
        <x:v>Automated metadata and passage extraction; full methods and tables require human review. Abstract-only record limits appraisal.</x:v>
      </x:c>
      <x:c r="Y63" s="27" t="str">
        <x:v>Region was not clearly North American; practical transferability requires local dietetic and healthcare context.</x:v>
      </x:c>
      <x:c r="Z63" s="27" t="str">
        <x:v>Scientifically relevant to Canada/US if disease context and intervention are comparable; food availability, cuisine, fortification, cost, cultural fit, and healthcare delivery may differ.</x:v>
      </x:c>
      <x:c r="AA63" s="27" t="str">
        <x:v>moderate</x:v>
      </x:c>
      <x:c r="AB63" s="27" t="str">
        <x:v>deterministic sentence selection</x:v>
      </x:c>
      <x:c r="AC63" s="27" t="str">
        <x:v>pending_human_review</x:v>
      </x:c>
      <x:c r="AD63" s="27" t="str">
        <x:v>reject_recommended</x:v>
      </x:c>
      <x:c r="AE63" s="27" t="str">
        <x:v>For each meta-analysis, we considered the random effects estimate, its 95% confidence interval, the estimates of heterogeneity, and small-study effects, and we graded the evidence according to prespecified criteria.</x:v>
      </x:c>
      <x:c r="AF63" s="27" t="str"/>
      <x:c r="AG63" s="27" t="str">
        <x:v>This is a methods, background, sample-description, vague, or non-actionable sentence rather than a safe atomic evidence claim; or it falls outside the product's non-diagnostic, non-treatment scope.</x:v>
      </x:c>
      <x:c r="AH63" s="27" t="str">
        <x:v>verified_against_public_abstract</x:v>
      </x:c>
      <x:c r="AI63" s="27" t="str"/>
      <x:c r="AJ63" s="27" t="str">
        <x:v>Reject unless a reviewer identifies a distinct, directly supported informational use.</x:v>
      </x:c>
      <x:c r="AK63" s="30" t="str"/>
      <x:c r="AL63" s="30" t="str"/>
      <x:c r="AM63" s="30" t="str"/>
    </x:row>
    <x:row r="64" ht="96" customHeight="1">
      <x:c r="A64" s="27" t="str">
        <x:v>CLM-060</x:v>
      </x:c>
      <x:c r="B64" s="27" t="str">
        <x:v>SRC-015</x:v>
      </x:c>
      <x:c r="C64" s="27" t="str">
        <x:v>Environmental Risk Factors for Inflammatory Bowel Diseases: An Umbrella Review of Meta-analyses.</x:v>
      </x:c>
      <x:c r="D64" s="27" t="str">
        <x:v>review</x:v>
      </x:c>
      <x:c r="E64" s="27" t="str">
        <x:v>https://pubmed.ncbi.nlm.nih.gov/31014995/</x:v>
      </x:c>
      <x:c r="F64" s="27" t="str">
        <x:v>ulcerative_colitis; crohns_disease; ibd_general</x:v>
      </x:c>
      <x:c r="G64" s="27" t="str">
        <x:v>general_or_unspecified</x:v>
      </x:c>
      <x:c r="H64" s="27" t="str">
        <x:v>core_condition_knowledge</x:v>
      </x:c>
      <x:c r="I64" s="27" t="str">
        <x:v>disease_activity</x:v>
      </x:c>
      <x:c r="J64" s="27" t="str">
        <x:v>RESULTS: We examined 183 estimates in 53 meta-analyses of 71 environmental factors related to lifestyles and hygiene, surgeries, drug exposures, diet, microorganisms, and vaccinations.</x:v>
      </x:c>
      <x:c r="K64" s="27" t="str">
        <x:v>In plain terms, the source reports: RESULTS: We examined 183 estimates in 53 meta-analyses of 71 environmental factors related to lifestyles and hygiene, surgeries, drug exposures, diet, microorganisms, and vaccinations.</x:v>
      </x:c>
      <x:c r="L64" s="27" t="str">
        <x:v>Background explanation with source citation and explicit uncertainty; never personalized diagnosis or treatment advice.</x:v>
      </x:c>
      <x:c r="M64" s="27" t="str">
        <x:v>RESULTS: We examined 183 estimates in 53 meta-analyses of 71 environmental factors related to lifestyles and hygiene, surgeries, drug exposures, diet, microorganisms, and vaccinations.</x:v>
      </x:c>
      <x:c r="N64" s="27" t="str">
        <x:v>PubMed abstract</x:v>
      </x:c>
      <x:c r="O64" s="27" t="str"/>
      <x:c r="P64" s="27" t="str">
        <x:v>meta_analysis</x:v>
      </x:c>
      <x:c r="Q64" s="27" t="str">
        <x:v>meta-analysis</x:v>
      </x:c>
      <x:c r="R64" s="27" t="str">
        <x:v>People with IBD or source-defined population; details require full-text review</x:v>
      </x:c>
      <x:c r="S64" s="27" t="str">
        <x:v>Not reported in extracted metadata</x:v>
      </x:c>
      <x:c r="T64" s="27" t="str">
        <x:v>Not reported in abstract</x:v>
      </x:c>
      <x:c r="U64" s="27" t="str">
        <x:v>Diet, nutrition, or lifestyle exposure/intervention as specified by the source</x:v>
      </x:c>
      <x:c r="V64" s="27" t="str">
        <x:v>As specified by the source; not always reported in the abstract</x:v>
      </x:c>
      <x:c r="W64" s="27" t="str">
        <x:v>disease activity or topic-specific outcome as reported</x:v>
      </x:c>
      <x:c r="X64" s="27" t="str">
        <x:v>Automated metadata and passage extraction; full methods and tables require human review. Abstract-only record limits appraisal.</x:v>
      </x:c>
      <x:c r="Y64" s="27" t="str">
        <x:v>Region was not clearly North American; practical transferability requires local dietetic and healthcare context.</x:v>
      </x:c>
      <x:c r="Z64" s="27" t="str">
        <x:v>Scientifically relevant to Canada/US if disease context and intervention are comparable; food availability, cuisine, fortification, cost, cultural fit, and healthcare delivery may differ.</x:v>
      </x:c>
      <x:c r="AA64" s="27" t="str">
        <x:v>moderate</x:v>
      </x:c>
      <x:c r="AB64" s="27" t="str">
        <x:v>deterministic sentence selection</x:v>
      </x:c>
      <x:c r="AC64" s="27" t="str">
        <x:v>pending_human_review</x:v>
      </x:c>
      <x:c r="AD64" s="27" t="str">
        <x:v>reject_recommended</x:v>
      </x:c>
      <x:c r="AE64" s="27" t="str">
        <x:v>RESULTS: We examined 183 estimates in 53 meta-analyses of 71 environmental factors related to lifestyles and hygiene, surgeries, drug exposures, diet, microorganisms, and vaccinations.</x:v>
      </x:c>
      <x:c r="AF64" s="27" t="str"/>
      <x:c r="AG64" s="27" t="str">
        <x:v>This is a methods, background, sample-description, vague, or non-actionable sentence rather than a safe atomic evidence claim; or it falls outside the product's non-diagnostic, non-treatment scope.</x:v>
      </x:c>
      <x:c r="AH64" s="27" t="str">
        <x:v>verified_against_public_abstract</x:v>
      </x:c>
      <x:c r="AI64" s="27" t="str"/>
      <x:c r="AJ64" s="27" t="str">
        <x:v>Reject unless a reviewer identifies a distinct, directly supported informational use.</x:v>
      </x:c>
      <x:c r="AK64" s="30" t="str"/>
      <x:c r="AL64" s="30" t="str"/>
      <x:c r="AM64" s="30" t="str"/>
    </x:row>
    <x:row r="65" ht="96" customHeight="1">
      <x:c r="A65" s="27" t="str">
        <x:v>CLM-061</x:v>
      </x:c>
      <x:c r="B65" s="27" t="str">
        <x:v>SRC-016</x:v>
      </x:c>
      <x:c r="C65" s="27" t="str">
        <x:v>A Randomized Trial Comparing the Specific Carbohydrate Diet to a Mediterranean Diet in Adults With Crohn's Disease.</x:v>
      </x:c>
      <x:c r="D65" s="27" t="str">
        <x:v>study</x:v>
      </x:c>
      <x:c r="E65" s="27" t="str">
        <x:v>https://pubmed.ncbi.nlm.nih.gov/34052278/</x:v>
      </x:c>
      <x:c r="F65" s="27" t="str">
        <x:v>crohns_disease</x:v>
      </x:c>
      <x:c r="G65" s="27" t="str">
        <x:v>remission</x:v>
      </x:c>
      <x:c r="H65" s="27" t="str">
        <x:v>symptoms_vs_inflammation</x:v>
      </x:c>
      <x:c r="I65" s="27" t="str">
        <x:v>symptoms</x:v>
      </x:c>
      <x:c r="J65" s="27" t="str">
        <x:v>CONCLUSIONS: The SCD was not superior to the MD to achieve symptomatic remission, FC response, and CRP response.</x:v>
      </x:c>
      <x:c r="K65" s="27" t="str">
        <x:v>In plain terms, the source reports: CONCLUSIONS: The SCD was not superior to the MD to achieve symptomatic remission, FC response, and CRP response.</x:v>
      </x:c>
      <x:c r="L65" s="27" t="str">
        <x:v>Background explanation with source citation and explicit uncertainty; never personalized diagnosis or treatment advice.</x:v>
      </x:c>
      <x:c r="M65" s="27" t="str">
        <x:v>CONCLUSIONS: The SCD was not superior to the MD to achieve symptomatic remission, FC response, and CRP response.</x:v>
      </x:c>
      <x:c r="N65" s="27" t="str">
        <x:v>PubMed abstract</x:v>
      </x:c>
      <x:c r="O65" s="27" t="str"/>
      <x:c r="P65" s="27" t="str">
        <x:v>randomized_trial</x:v>
      </x:c>
      <x:c r="Q65" s="27" t="str">
        <x:v>randomized controlled trial</x:v>
      </x:c>
      <x:c r="R65" s="27" t="str">
        <x:v>Adults with IBD, as specified</x:v>
      </x:c>
      <x:c r="S65" s="27" t="str">
        <x:v>194</x:v>
      </x:c>
      <x:c r="T65" s="27" t="str">
        <x:v>Not reported in abstract</x:v>
      </x:c>
      <x:c r="U65" s="27" t="str">
        <x:v>Diet, nutrition, or lifestyle exposure/intervention as specified by the source</x:v>
      </x:c>
      <x:c r="V65" s="27" t="str">
        <x:v>As specified by the source; not always reported in the abstract</x:v>
      </x:c>
      <x:c r="W65" s="27" t="str">
        <x:v>remission induction or maintenance (as specified)</x:v>
      </x:c>
      <x:c r="X65" s="27" t="str">
        <x:v>Automated metadata and passage extraction; full methods and tables require human review. Public full text available for deeper review.</x:v>
      </x:c>
      <x:c r="Y65" s="27" t="str">
        <x:v>Region was not clearly North American; practical transferability requires local dietetic and healthcare context.</x:v>
      </x:c>
      <x:c r="Z65" s="27" t="str">
        <x:v>Scientifically relevant to Canada/US if disease context and intervention are comparable; food availability, cuisine, fortification, cost, cultural fit, and healthcare delivery may differ.</x:v>
      </x:c>
      <x:c r="AA65" s="27" t="str">
        <x:v>high</x:v>
      </x:c>
      <x:c r="AB65" s="27" t="str">
        <x:v>deterministic sentence selection</x:v>
      </x:c>
      <x:c r="AC65" s="27" t="str">
        <x:v>pending_human_review</x:v>
      </x:c>
      <x:c r="AD65" s="27" t="str">
        <x:v>wording_revision_recommended</x:v>
      </x:c>
      <x:c r="AE65" s="27" t="str">
        <x:v>CONCLUSIONS: The SCD was not superior to the MD to achieve symptomatic remission, FC response, and CRP response.</x:v>
      </x:c>
      <x:c r="AF65" s="27"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AG65" s="27" t="str">
        <x:v>State the measured outcome precisely and avoid treating symptom change, biomarkers, and inflammation as interchangeable.</x:v>
      </x:c>
      <x:c r="AH65" s="27" t="str">
        <x:v>verified_against_public_abstract</x:v>
      </x:c>
      <x:c r="AI65" s="27" t="str"/>
      <x:c r="AJ65" s="27" t="str">
        <x:v>Review the proposed wording and approve only if the source, population, disease state, and outcome limitation are acceptable.</x:v>
      </x:c>
      <x:c r="AK65" s="30" t="str"/>
      <x:c r="AL65" s="30" t="str"/>
      <x:c r="AM65" s="30" t="str"/>
    </x:row>
    <x:row r="66" ht="96" customHeight="1">
      <x:c r="A66" s="27" t="str">
        <x:v>CLM-062</x:v>
      </x:c>
      <x:c r="B66" s="27" t="str">
        <x:v>SRC-016</x:v>
      </x:c>
      <x:c r="C66" s="27" t="str">
        <x:v>A Randomized Trial Comparing the Specific Carbohydrate Diet to a Mediterranean Diet in Adults With Crohn's Disease.</x:v>
      </x:c>
      <x:c r="D66" s="27" t="str">
        <x:v>study</x:v>
      </x:c>
      <x:c r="E66" s="27" t="str">
        <x:v>https://pubmed.ncbi.nlm.nih.gov/34052278/</x:v>
      </x:c>
      <x:c r="F66" s="27" t="str">
        <x:v>crohns_disease</x:v>
      </x:c>
      <x:c r="G66" s="27" t="str">
        <x:v>general_or_unspecified</x:v>
      </x:c>
      <x:c r="H66" s="27" t="str">
        <x:v>symptoms_vs_inflammation</x:v>
      </x:c>
      <x:c r="I66" s="27" t="str">
        <x:v>symptoms</x:v>
      </x:c>
      <x:c r="J66" s="27" t="str">
        <x:v>Given these results, the greater ease of following the MD and other health benefits associated with the MD, the MD may be preferred to the SCD for most patients with CD with mild to moderate symptoms.</x:v>
      </x:c>
      <x:c r="K66" s="27" t="str">
        <x:v>In plain terms, the source reports: Given these results, the greater ease of following the MD and other health benefits associated with the MD, the MD may be preferred to the SCD for most patients with CD with mild to moderate symptoms.</x:v>
      </x:c>
      <x:c r="L66" s="27" t="str">
        <x:v>Background explanation with source citation and explicit uncertainty; never personalized diagnosis or treatment advice.</x:v>
      </x:c>
      <x:c r="M66" s="27" t="str">
        <x:v>Given these results, the greater ease of following the MD and other health benefits associated with the MD, the MD may be preferred to the SCD for most patients with CD with mild to moderate symptoms.</x:v>
      </x:c>
      <x:c r="N66" s="27" t="str">
        <x:v>PubMed abstract</x:v>
      </x:c>
      <x:c r="O66" s="27" t="str"/>
      <x:c r="P66" s="27" t="str">
        <x:v>randomized_trial</x:v>
      </x:c>
      <x:c r="Q66" s="27" t="str">
        <x:v>randomized controlled trial</x:v>
      </x:c>
      <x:c r="R66" s="27" t="str">
        <x:v>Adults with IBD, as specified</x:v>
      </x:c>
      <x:c r="S66" s="27" t="str">
        <x:v>194</x:v>
      </x:c>
      <x:c r="T66" s="27" t="str">
        <x:v>Not reported in abstract</x:v>
      </x:c>
      <x:c r="U66" s="27" t="str">
        <x:v>Diet, nutrition, or lifestyle exposure/intervention as specified by the source</x:v>
      </x:c>
      <x:c r="V66" s="27" t="str">
        <x:v>As specified by the source; not always reported in the abstract</x:v>
      </x:c>
      <x:c r="W66" s="27" t="str">
        <x:v>symptoms</x:v>
      </x:c>
      <x:c r="X66" s="27" t="str">
        <x:v>Automated metadata and passage extraction; full methods and tables require human review. Public full text available for deeper review.</x:v>
      </x:c>
      <x:c r="Y66" s="27" t="str">
        <x:v>Region was not clearly North American; practical transferability requires local dietetic and healthcare context.</x:v>
      </x:c>
      <x:c r="Z66" s="27" t="str">
        <x:v>Scientifically relevant to Canada/US if disease context and intervention are comparable; food availability, cuisine, fortification, cost, cultural fit, and healthcare delivery may differ.</x:v>
      </x:c>
      <x:c r="AA66" s="27" t="str">
        <x:v>high</x:v>
      </x:c>
      <x:c r="AB66" s="27" t="str">
        <x:v>deterministic sentence selection</x:v>
      </x:c>
      <x:c r="AC66" s="27" t="str">
        <x:v>pending_human_review</x:v>
      </x:c>
      <x:c r="AD66" s="27" t="str">
        <x:v>wording_revision_recommended</x:v>
      </x:c>
      <x:c r="AE66" s="27" t="str">
        <x:v>Given these results, the greater ease of following the MD and other health benefits associated with the MD, the MD may be preferred to the SCD for most patients with CD with mild to moderate symptoms.</x:v>
      </x:c>
      <x:c r="AF66" s="27"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AG66" s="27" t="str">
        <x:v>Keep the observational or incidence framing explicit; do not convert association into causal or individual disease-course advice.</x:v>
      </x:c>
      <x:c r="AH66" s="27" t="str">
        <x:v>verified_against_public_abstract</x:v>
      </x:c>
      <x:c r="AI66" s="27" t="str"/>
      <x:c r="AJ66" s="27" t="str">
        <x:v>Review the proposed wording and approve only if the source, population, disease state, and outcome limitation are acceptable.</x:v>
      </x:c>
      <x:c r="AK66" s="30" t="str"/>
      <x:c r="AL66" s="30" t="str"/>
      <x:c r="AM66" s="30" t="str"/>
    </x:row>
    <x:row r="67" ht="96" customHeight="1">
      <x:c r="A67" s="27" t="str">
        <x:v>CLM-063</x:v>
      </x:c>
      <x:c r="B67" s="27" t="str">
        <x:v>SRC-016</x:v>
      </x:c>
      <x:c r="C67" s="27" t="str">
        <x:v>A Randomized Trial Comparing the Specific Carbohydrate Diet to a Mediterranean Diet in Adults With Crohn's Disease.</x:v>
      </x:c>
      <x:c r="D67" s="27" t="str">
        <x:v>study</x:v>
      </x:c>
      <x:c r="E67" s="27" t="str">
        <x:v>https://pubmed.ncbi.nlm.nih.gov/34052278/</x:v>
      </x:c>
      <x:c r="F67" s="27" t="str">
        <x:v>crohns_disease</x:v>
      </x:c>
      <x:c r="G67" s="27" t="str">
        <x:v>general_or_unspecified</x:v>
      </x:c>
      <x:c r="H67" s="27" t="str">
        <x:v>core_condition_knowledge</x:v>
      </x:c>
      <x:c r="I67" s="27" t="str">
        <x:v>disease_activity</x:v>
      </x:c>
      <x:c r="J67" s="27" t="str">
        <x:v>RESULTS: The study randomized 194 patients, and 191 were included in the efficacy analyses.</x:v>
      </x:c>
      <x:c r="K67" s="27" t="str">
        <x:v>In plain terms, the source reports: RESULTS: The study randomized 194 patients, and 191 were included in the efficacy analyses.</x:v>
      </x:c>
      <x:c r="L67" s="27" t="str">
        <x:v>Background explanation with source citation and explicit uncertainty; never personalized diagnosis or treatment advice.</x:v>
      </x:c>
      <x:c r="M67" s="27" t="str">
        <x:v>RESULTS: The study randomized 194 patients, and 191 were included in the efficacy analyses.</x:v>
      </x:c>
      <x:c r="N67" s="27" t="str">
        <x:v>PubMed abstract</x:v>
      </x:c>
      <x:c r="O67" s="27" t="str"/>
      <x:c r="P67" s="27" t="str">
        <x:v>randomized_trial</x:v>
      </x:c>
      <x:c r="Q67" s="27" t="str">
        <x:v>randomized controlled trial</x:v>
      </x:c>
      <x:c r="R67" s="27" t="str">
        <x:v>Adults with IBD, as specified</x:v>
      </x:c>
      <x:c r="S67" s="27" t="str">
        <x:v>194</x:v>
      </x:c>
      <x:c r="T67" s="27" t="str">
        <x:v>Not reported in abstract</x:v>
      </x:c>
      <x:c r="U67" s="27" t="str">
        <x:v>Diet, nutrition, or lifestyle exposure/intervention as specified by the source</x:v>
      </x:c>
      <x:c r="V67" s="27" t="str">
        <x:v>As specified by the source; not always reported in the abstract</x:v>
      </x:c>
      <x:c r="W67" s="27" t="str">
        <x:v>disease activity or topic-specific outcome as reported</x:v>
      </x:c>
      <x:c r="X67" s="27" t="str">
        <x:v>Automated metadata and passage extraction; full methods and tables require human review. Public full text available for deeper review.</x:v>
      </x:c>
      <x:c r="Y67" s="27" t="str">
        <x:v>Region was not clearly North American; practical transferability requires local dietetic and healthcare context.</x:v>
      </x:c>
      <x:c r="Z67" s="27" t="str">
        <x:v>Scientifically relevant to Canada/US if disease context and intervention are comparable; food availability, cuisine, fortification, cost, cultural fit, and healthcare delivery may differ.</x:v>
      </x:c>
      <x:c r="AA67" s="27" t="str">
        <x:v>high</x:v>
      </x:c>
      <x:c r="AB67" s="27" t="str">
        <x:v>deterministic sentence selection</x:v>
      </x:c>
      <x:c r="AC67" s="27" t="str">
        <x:v>pending_human_review</x:v>
      </x:c>
      <x:c r="AD67" s="27" t="str">
        <x:v>reject_recommended</x:v>
      </x:c>
      <x:c r="AE67" s="27" t="str">
        <x:v>RESULTS: The study randomized 194 patients, and 191 were included in the efficacy analyses.</x:v>
      </x:c>
      <x:c r="AF67" s="27" t="str"/>
      <x:c r="AG67" s="27" t="str">
        <x:v>This is a methods, background, sample-description, vague, or non-actionable sentence rather than a safe atomic evidence claim; or it falls outside the product's non-diagnostic, non-treatment scope.</x:v>
      </x:c>
      <x:c r="AH67" s="27" t="str">
        <x:v>verified_against_public_abstract</x:v>
      </x:c>
      <x:c r="AI67" s="27" t="str"/>
      <x:c r="AJ67" s="27" t="str">
        <x:v>Reject unless a reviewer identifies a distinct, directly supported informational use.</x:v>
      </x:c>
      <x:c r="AK67" s="30" t="str"/>
      <x:c r="AL67" s="30" t="str"/>
      <x:c r="AM67" s="30" t="str"/>
    </x:row>
    <x:row r="68" ht="96" customHeight="1">
      <x:c r="A68" s="27" t="str">
        <x:v>CLM-064</x:v>
      </x:c>
      <x:c r="B68" s="27" t="str">
        <x:v>SRC-016</x:v>
      </x:c>
      <x:c r="C68" s="27" t="str">
        <x:v>A Randomized Trial Comparing the Specific Carbohydrate Diet to a Mediterranean Diet in Adults With Crohn's Disease.</x:v>
      </x:c>
      <x:c r="D68" s="27" t="str">
        <x:v>study</x:v>
      </x:c>
      <x:c r="E68" s="27" t="str">
        <x:v>https://pubmed.ncbi.nlm.nih.gov/34052278/</x:v>
      </x:c>
      <x:c r="F68" s="27" t="str">
        <x:v>crohns_disease</x:v>
      </x:c>
      <x:c r="G68" s="27" t="str">
        <x:v>general_or_unspecified</x:v>
      </x:c>
      <x:c r="H68" s="27" t="str">
        <x:v>dietary_patterns</x:v>
      </x:c>
      <x:c r="I68" s="27" t="str">
        <x:v>symptoms</x:v>
      </x:c>
      <x:c r="J68" s="27" t="str">
        <x:v>BACKGROUND &amp; AIMS: This study compared the effectiveness of the Specific Carbohydrate Diet (SCD) to the Mediterranean diet (MD) as treatment for Crohn's disease (CD) with mild to moderate symptoms.</x:v>
      </x:c>
      <x:c r="K68" s="27" t="str">
        <x:v>In plain terms, the source reports: BACKGROUND &amp; AIMS: This study compared the effectiveness of the Specific Carbohydrate Diet (SCD) to the Mediterranean diet (MD) as treatment for Crohn's disease (CD) with mild to moderate symptoms.</x:v>
      </x:c>
      <x:c r="L68" s="27" t="str">
        <x:v>Background explanation with source citation and explicit uncertainty; never personalized diagnosis or treatment advice.</x:v>
      </x:c>
      <x:c r="M68" s="27" t="str">
        <x:v>BACKGROUND &amp; AIMS: This study compared the effectiveness of the Specific Carbohydrate Diet (SCD) to the Mediterranean diet (MD) as treatment for Crohn's disease (CD) with mild to moderate symptoms.</x:v>
      </x:c>
      <x:c r="N68" s="27" t="str">
        <x:v>PubMed abstract</x:v>
      </x:c>
      <x:c r="O68" s="27" t="str"/>
      <x:c r="P68" s="27" t="str">
        <x:v>randomized_trial</x:v>
      </x:c>
      <x:c r="Q68" s="27" t="str">
        <x:v>randomized controlled trial</x:v>
      </x:c>
      <x:c r="R68" s="27" t="str">
        <x:v>Adults with IBD, as specified</x:v>
      </x:c>
      <x:c r="S68" s="27" t="str">
        <x:v>194</x:v>
      </x:c>
      <x:c r="T68" s="27" t="str">
        <x:v>Not reported in abstract</x:v>
      </x:c>
      <x:c r="U68" s="27" t="str">
        <x:v>Diet, nutrition, or lifestyle exposure/intervention as specified by the source</x:v>
      </x:c>
      <x:c r="V68" s="27" t="str">
        <x:v>As specified by the source; not always reported in the abstract</x:v>
      </x:c>
      <x:c r="W68" s="27" t="str">
        <x:v>symptoms</x:v>
      </x:c>
      <x:c r="X68" s="27" t="str">
        <x:v>Automated metadata and passage extraction; full methods and tables require human review. Public full text available for deeper review.</x:v>
      </x:c>
      <x:c r="Y68" s="27" t="str">
        <x:v>Region was not clearly North American; practical transferability requires local dietetic and healthcare context.</x:v>
      </x:c>
      <x:c r="Z68" s="27" t="str">
        <x:v>Scientifically relevant to Canada/US if disease context and intervention are comparable; food availability, cuisine, fortification, cost, cultural fit, and healthcare delivery may differ.</x:v>
      </x:c>
      <x:c r="AA68" s="27" t="str">
        <x:v>high</x:v>
      </x:c>
      <x:c r="AB68" s="27" t="str">
        <x:v>deterministic sentence selection</x:v>
      </x:c>
      <x:c r="AC68" s="27" t="str">
        <x:v>pending_human_review</x:v>
      </x:c>
      <x:c r="AD68" s="27" t="str">
        <x:v>reject_recommended</x:v>
      </x:c>
      <x:c r="AE68" s="27" t="str">
        <x:v>BACKGROUND &amp; AIMS: This study compared the effectiveness of the Specific Carbohydrate Diet (SCD) to the Mediterranean diet (MD) as treatment for Crohn's disease (CD) with mild to moderate symptoms.</x:v>
      </x:c>
      <x:c r="AF68" s="27" t="str"/>
      <x:c r="AG68" s="27" t="str">
        <x:v>This is a methods, background, sample-description, vague, or non-actionable sentence rather than a safe atomic evidence claim; or it falls outside the product's non-diagnostic, non-treatment scope.</x:v>
      </x:c>
      <x:c r="AH68" s="27" t="str">
        <x:v>verified_against_public_abstract</x:v>
      </x:c>
      <x:c r="AI68" s="27" t="str"/>
      <x:c r="AJ68" s="27" t="str">
        <x:v>Reject unless a reviewer identifies a distinct, directly supported informational use.</x:v>
      </x:c>
      <x:c r="AK68" s="30" t="str"/>
      <x:c r="AL68" s="30" t="str"/>
      <x:c r="AM68" s="30" t="str"/>
    </x:row>
    <x:row r="69" ht="96" customHeight="1">
      <x:c r="A69" s="27" t="str">
        <x:v>CLM-065</x:v>
      </x:c>
      <x:c r="B69" s="27" t="str">
        <x:v>SRC-017</x:v>
      </x:c>
      <x:c r="C69" s="27" t="str">
        <x:v>Crohn's Disease Exclusion Diet Plus Partial Enteral Nutrition Induces Sustained Remission in a Randomized Controlled Trial.</x:v>
      </x:c>
      <x:c r="D69" s="27" t="str">
        <x:v>study</x:v>
      </x:c>
      <x:c r="E69" s="27" t="str">
        <x:v>https://pubmed.ncbi.nlm.nih.gov/31170412/</x:v>
      </x:c>
      <x:c r="F69" s="27" t="str">
        <x:v>crohns_disease</x:v>
      </x:c>
      <x:c r="G69" s="27" t="str">
        <x:v>general_or_unspecified</x:v>
      </x:c>
      <x:c r="H69" s="27" t="str">
        <x:v>enteral_nutrition</x:v>
      </x:c>
      <x:c r="I69" s="27" t="str">
        <x:v>nutritional_status</x:v>
      </x:c>
      <x:c r="J69" s="27" t="str">
        <x:v>BACKGROUND &amp; AIMS: Exclusive enteral nutrition (EEN) is recommended for children with mild to moderate Crohn's disease (CD), but implementation is challenging.</x:v>
      </x:c>
      <x:c r="K69" s="27" t="str">
        <x:v>In plain terms, the source reports: BACKGROUND &amp; AIMS: Exclusive enteral nutrition (EEN) is recommended for children with mild to moderate Crohn's disease (CD), but implementation is challenging.</x:v>
      </x:c>
      <x:c r="L69" s="27" t="str">
        <x:v>Background explanation with source citation and explicit uncertainty; never personalized diagnosis or treatment advice.</x:v>
      </x:c>
      <x:c r="M69" s="27" t="str">
        <x:v>BACKGROUND &amp; AIMS: Exclusive enteral nutrition (EEN) is recommended for children with mild to moderate Crohn's disease (CD), but implementation is challenging.</x:v>
      </x:c>
      <x:c r="N69" s="27" t="str">
        <x:v>PubMed abstract</x:v>
      </x:c>
      <x:c r="O69" s="27" t="str"/>
      <x:c r="P69" s="27" t="str">
        <x:v>randomized_trial</x:v>
      </x:c>
      <x:c r="Q69" s="27" t="str">
        <x:v>randomized controlled trial</x:v>
      </x:c>
      <x:c r="R69" s="27" t="str">
        <x:v>Children or adolescents with IBD, as specified</x:v>
      </x:c>
      <x:c r="S69" s="27" t="str">
        <x:v>40</x:v>
      </x:c>
      <x:c r="T69" s="27" t="str">
        <x:v>Not reported in abstract</x:v>
      </x:c>
      <x:c r="U69" s="27" t="str">
        <x:v>Diet, nutrition, or lifestyle exposure/intervention as specified by the source</x:v>
      </x:c>
      <x:c r="V69" s="27" t="str">
        <x:v>As specified by the source; not always reported in the abstract</x:v>
      </x:c>
      <x:c r="W69" s="27" t="str">
        <x:v>disease activity or topic-specific outcome as reported</x:v>
      </x:c>
      <x:c r="X69" s="27" t="str">
        <x:v>Automated metadata and passage extraction; full methods and tables require human review. Abstract-only record limits appraisal.</x:v>
      </x:c>
      <x:c r="Y69" s="27" t="str">
        <x:v>Region was not clearly North American; practical transferability requires local dietetic and healthcare context.</x:v>
      </x:c>
      <x:c r="Z69" s="27" t="str">
        <x:v>Scientifically relevant to Canada/US if disease context and intervention are comparable; food availability, cuisine, fortification, cost, cultural fit, and healthcare delivery may differ.</x:v>
      </x:c>
      <x:c r="AA69" s="27" t="str">
        <x:v>moderate</x:v>
      </x:c>
      <x:c r="AB69" s="27" t="str">
        <x:v>deterministic sentence selection</x:v>
      </x:c>
      <x:c r="AC69" s="27" t="str">
        <x:v>pending_human_review</x:v>
      </x:c>
      <x:c r="AD69" s="27" t="str">
        <x:v>reject_recommended</x:v>
      </x:c>
      <x:c r="AE69" s="27" t="str">
        <x:v>BACKGROUND &amp; AIMS: Exclusive enteral nutrition (EEN) is recommended for children with mild to moderate Crohn's disease (CD), but implementation is challenging.</x:v>
      </x:c>
      <x:c r="AF69" s="27" t="str"/>
      <x:c r="AG69" s="27" t="str">
        <x:v>This is a methods, background, sample-description, vague, or non-actionable sentence rather than a safe atomic evidence claim; or it falls outside the product's non-diagnostic, non-treatment scope.</x:v>
      </x:c>
      <x:c r="AH69" s="27" t="str">
        <x:v>verified_against_public_abstract</x:v>
      </x:c>
      <x:c r="AI69" s="27" t="str"/>
      <x:c r="AJ69" s="27" t="str">
        <x:v>Reject unless a reviewer identifies a distinct, directly supported informational use.</x:v>
      </x:c>
      <x:c r="AK69" s="30" t="str"/>
      <x:c r="AL69" s="30" t="str"/>
      <x:c r="AM69" s="30" t="str"/>
    </x:row>
    <x:row r="70" ht="96" customHeight="1">
      <x:c r="A70" s="27" t="str">
        <x:v>CLM-066</x:v>
      </x:c>
      <x:c r="B70" s="27" t="str">
        <x:v>SRC-017</x:v>
      </x:c>
      <x:c r="C70" s="27" t="str">
        <x:v>Crohn's Disease Exclusion Diet Plus Partial Enteral Nutrition Induces Sustained Remission in a Randomized Controlled Trial.</x:v>
      </x:c>
      <x:c r="D70" s="27" t="str">
        <x:v>study</x:v>
      </x:c>
      <x:c r="E70" s="27" t="str">
        <x:v>https://pubmed.ncbi.nlm.nih.gov/31170412/</x:v>
      </x:c>
      <x:c r="F70" s="27" t="str">
        <x:v>crohns_disease</x:v>
      </x:c>
      <x:c r="G70" s="27" t="str">
        <x:v>remission</x:v>
      </x:c>
      <x:c r="H70" s="27" t="str">
        <x:v>symptoms_vs_inflammation</x:v>
      </x:c>
      <x:c r="I70" s="27" t="str">
        <x:v>biomarkers</x:v>
      </x:c>
      <x:c r="J70" s="27" t="str">
        <x:v>In children given CDED plus PEN, corticosteroid-free remission was associated with sustained reductions in inflammation (based on serum level of C-reactive protein and fecal level of calprotectin) and fecal Proteobacteria.</x:v>
      </x:c>
      <x:c r="K70" s="27" t="str">
        <x:v>In plain terms, the source reports: In children given CDED plus PEN, corticosteroid-free remission was associated with sustained reductions in inflammation (based on serum level of C-reactive protein and fecal level of calprotectin) and fecal Proteobacteria.</x:v>
      </x:c>
      <x:c r="L70" s="27" t="str">
        <x:v>Background explanation with source citation and explicit uncertainty; never personalized diagnosis or treatment advice.</x:v>
      </x:c>
      <x:c r="M70" s="27" t="str">
        <x:v>In children given CDED plus PEN, corticosteroid-free remission was associated with sustained reductions in inflammation (based on serum level of C-reactive protein and fecal level of calprotectin) and fecal Proteobacteria.</x:v>
      </x:c>
      <x:c r="N70" s="27" t="str">
        <x:v>PubMed abstract</x:v>
      </x:c>
      <x:c r="O70" s="27" t="str"/>
      <x:c r="P70" s="27" t="str">
        <x:v>randomized_trial</x:v>
      </x:c>
      <x:c r="Q70" s="27" t="str">
        <x:v>randomized controlled trial</x:v>
      </x:c>
      <x:c r="R70" s="27" t="str">
        <x:v>Children or adolescents with IBD, as specified</x:v>
      </x:c>
      <x:c r="S70" s="27" t="str">
        <x:v>40</x:v>
      </x:c>
      <x:c r="T70" s="27" t="str">
        <x:v>Not reported in abstract</x:v>
      </x:c>
      <x:c r="U70" s="27" t="str">
        <x:v>Diet, nutrition, or lifestyle exposure/intervention as specified by the source</x:v>
      </x:c>
      <x:c r="V70" s="27" t="str">
        <x:v>As specified by the source; not always reported in the abstract</x:v>
      </x:c>
      <x:c r="W70" s="27" t="str">
        <x:v>remission induction or maintenance (as specified)</x:v>
      </x:c>
      <x:c r="X70" s="27" t="str">
        <x:v>Automated metadata and passage extraction; full methods and tables require human review. Abstract-only record limits appraisal.</x:v>
      </x:c>
      <x:c r="Y70" s="27" t="str">
        <x:v>Region was not clearly North American; practical transferability requires local dietetic and healthcare context.</x:v>
      </x:c>
      <x:c r="Z70" s="27" t="str">
        <x:v>Scientifically relevant to Canada/US if disease context and intervention are comparable; food availability, cuisine, fortification, cost, cultural fit, and healthcare delivery may differ.</x:v>
      </x:c>
      <x:c r="AA70" s="27" t="str">
        <x:v>moderate</x:v>
      </x:c>
      <x:c r="AB70" s="27" t="str">
        <x:v>deterministic sentence selection</x:v>
      </x:c>
      <x:c r="AC70" s="27" t="str">
        <x:v>pending_human_review</x:v>
      </x:c>
      <x:c r="AD70" s="27" t="str">
        <x:v>wording_revision_recommended</x:v>
      </x:c>
      <x:c r="AE70" s="27" t="str">
        <x:v>In children given CDED plus PEN, corticosteroid-free remission was associated with sustained reductions in inflammation (based on serum level of C-reactive protein and fecal level of calprotectin) and fecal Proteobacteria.</x:v>
      </x:c>
      <x:c r="AF70" s="27"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AG70" s="27" t="str">
        <x:v>Keep the observational or incidence framing explicit; do not convert association into causal or individual disease-course advice.</x:v>
      </x:c>
      <x:c r="AH70" s="27" t="str">
        <x:v>verified_against_public_abstract</x:v>
      </x:c>
      <x:c r="AI70" s="27" t="str"/>
      <x:c r="AJ70" s="27" t="str">
        <x:v>Review the proposed wording and approve only if the source, population, disease state, and outcome limitation are acceptable.</x:v>
      </x:c>
      <x:c r="AK70" s="30" t="str"/>
      <x:c r="AL70" s="30" t="str"/>
      <x:c r="AM70" s="30" t="str"/>
    </x:row>
    <x:row r="71" ht="96" customHeight="1">
      <x:c r="A71" s="27" t="str">
        <x:v>CLM-067</x:v>
      </x:c>
      <x:c r="B71" s="27" t="str">
        <x:v>SRC-017</x:v>
      </x:c>
      <x:c r="C71" s="27" t="str">
        <x:v>Crohn's Disease Exclusion Diet Plus Partial Enteral Nutrition Induces Sustained Remission in a Randomized Controlled Trial.</x:v>
      </x:c>
      <x:c r="D71" s="27" t="str">
        <x:v>study</x:v>
      </x:c>
      <x:c r="E71" s="27" t="str">
        <x:v>https://pubmed.ncbi.nlm.nih.gov/31170412/</x:v>
      </x:c>
      <x:c r="F71" s="27" t="str">
        <x:v>crohns_disease</x:v>
      </x:c>
      <x:c r="G71" s="27" t="str">
        <x:v>remission</x:v>
      </x:c>
      <x:c r="H71" s="27" t="str">
        <x:v>core_condition_knowledge</x:v>
      </x:c>
      <x:c r="I71" s="27" t="str">
        <x:v>disease_activity</x:v>
      </x:c>
      <x:c r="J71" s="27" t="str">
        <x:v>RESULTS: Four patients withdrew from the study because of intolerance by 48 hours, 74 patients (mean age 14.2 ± 2.7 years) were included for remission analysis.</x:v>
      </x:c>
      <x:c r="K71" s="27" t="str">
        <x:v>In plain terms, the source reports: RESULTS: Four patients withdrew from the study because of intolerance by 48 hours, 74 patients (mean age 14.2 ± 2.7 years) were included for remission analysis.</x:v>
      </x:c>
      <x:c r="L71" s="27" t="str">
        <x:v>Background explanation with source citation and explicit uncertainty; never personalized diagnosis or treatment advice.</x:v>
      </x:c>
      <x:c r="M71" s="27" t="str">
        <x:v>RESULTS: Four patients withdrew from the study because of intolerance by 48 hours, 74 patients (mean age 14.2 ± 2.7 years) were included for remission analysis.</x:v>
      </x:c>
      <x:c r="N71" s="27" t="str">
        <x:v>PubMed abstract</x:v>
      </x:c>
      <x:c r="O71" s="27" t="str"/>
      <x:c r="P71" s="27" t="str">
        <x:v>randomized_trial</x:v>
      </x:c>
      <x:c r="Q71" s="27" t="str">
        <x:v>randomized controlled trial</x:v>
      </x:c>
      <x:c r="R71" s="27" t="str">
        <x:v>Children or adolescents with IBD, as specified</x:v>
      </x:c>
      <x:c r="S71" s="27" t="str">
        <x:v>40</x:v>
      </x:c>
      <x:c r="T71" s="27" t="str">
        <x:v>Not reported in abstract</x:v>
      </x:c>
      <x:c r="U71" s="27" t="str">
        <x:v>Diet, nutrition, or lifestyle exposure/intervention as specified by the source</x:v>
      </x:c>
      <x:c r="V71" s="27" t="str">
        <x:v>As specified by the source; not always reported in the abstract</x:v>
      </x:c>
      <x:c r="W71" s="27" t="str">
        <x:v>remission induction or maintenance (as specified)</x:v>
      </x:c>
      <x:c r="X71" s="27" t="str">
        <x:v>Automated metadata and passage extraction; full methods and tables require human review. Abstract-only record limits appraisal.</x:v>
      </x:c>
      <x:c r="Y71" s="27" t="str">
        <x:v>Region was not clearly North American; practical transferability requires local dietetic and healthcare context.</x:v>
      </x:c>
      <x:c r="Z71" s="27" t="str">
        <x:v>Scientifically relevant to Canada/US if disease context and intervention are comparable; food availability, cuisine, fortification, cost, cultural fit, and healthcare delivery may differ.</x:v>
      </x:c>
      <x:c r="AA71" s="27" t="str">
        <x:v>moderate</x:v>
      </x:c>
      <x:c r="AB71" s="27" t="str">
        <x:v>deterministic sentence selection</x:v>
      </x:c>
      <x:c r="AC71" s="27" t="str">
        <x:v>pending_human_review</x:v>
      </x:c>
      <x:c r="AD71" s="27" t="str">
        <x:v>reject_recommended</x:v>
      </x:c>
      <x:c r="AE71" s="27" t="str">
        <x:v>RESULTS: Four patients withdrew from the study because of intolerance by 48 hours, 74 patients (mean age 14.2 ± 2.7 years) were included for remission analysis.</x:v>
      </x:c>
      <x:c r="AF71" s="27" t="str"/>
      <x:c r="AG71" s="27" t="str">
        <x:v>This is a methods, background, sample-description, vague, or non-actionable sentence rather than a safe atomic evidence claim; or it falls outside the product's non-diagnostic, non-treatment scope.</x:v>
      </x:c>
      <x:c r="AH71" s="27" t="str">
        <x:v>verified_against_public_abstract</x:v>
      </x:c>
      <x:c r="AI71" s="27" t="str"/>
      <x:c r="AJ71" s="27" t="str">
        <x:v>Reject unless a reviewer identifies a distinct, directly supported informational use.</x:v>
      </x:c>
      <x:c r="AK71" s="30" t="str"/>
      <x:c r="AL71" s="30" t="str"/>
      <x:c r="AM71" s="30" t="str"/>
    </x:row>
    <x:row r="72" ht="96" customHeight="1">
      <x:c r="A72" s="27" t="str">
        <x:v>CLM-068</x:v>
      </x:c>
      <x:c r="B72" s="27" t="str">
        <x:v>SRC-017</x:v>
      </x:c>
      <x:c r="C72" s="27" t="str">
        <x:v>Crohn's Disease Exclusion Diet Plus Partial Enteral Nutrition Induces Sustained Remission in a Randomized Controlled Trial.</x:v>
      </x:c>
      <x:c r="D72" s="27" t="str">
        <x:v>study</x:v>
      </x:c>
      <x:c r="E72" s="27" t="str">
        <x:v>https://pubmed.ncbi.nlm.nih.gov/31170412/</x:v>
      </x:c>
      <x:c r="F72" s="27" t="str">
        <x:v>crohns_disease</x:v>
      </x:c>
      <x:c r="G72" s="27" t="str">
        <x:v>general_or_unspecified</x:v>
      </x:c>
      <x:c r="H72" s="27" t="str">
        <x:v>core_condition_knowledge</x:v>
      </x:c>
      <x:c r="I72" s="27" t="str">
        <x:v>disease_activity</x:v>
      </x:c>
      <x:c r="J72" s="27" t="str">
        <x:v>CONCLUSION: CDED plus PEN was better tolerated than EEN in children with mild to moderate CD.</x:v>
      </x:c>
      <x:c r="K72" s="27" t="str">
        <x:v>In plain terms, the source reports: CONCLUSION: CDED plus PEN was better tolerated than EEN in children with mild to moderate CD.</x:v>
      </x:c>
      <x:c r="L72" s="27" t="str">
        <x:v>Background explanation with source citation and explicit uncertainty; never personalized diagnosis or treatment advice.</x:v>
      </x:c>
      <x:c r="M72" s="27" t="str">
        <x:v>CONCLUSION: CDED plus PEN was better tolerated than EEN in children with mild to moderate CD.</x:v>
      </x:c>
      <x:c r="N72" s="27" t="str">
        <x:v>PubMed abstract</x:v>
      </x:c>
      <x:c r="O72" s="27" t="str"/>
      <x:c r="P72" s="27" t="str">
        <x:v>randomized_trial</x:v>
      </x:c>
      <x:c r="Q72" s="27" t="str">
        <x:v>randomized controlled trial</x:v>
      </x:c>
      <x:c r="R72" s="27" t="str">
        <x:v>Children or adolescents with IBD, as specified</x:v>
      </x:c>
      <x:c r="S72" s="27" t="str">
        <x:v>40</x:v>
      </x:c>
      <x:c r="T72" s="27" t="str">
        <x:v>Not reported in abstract</x:v>
      </x:c>
      <x:c r="U72" s="27" t="str">
        <x:v>Diet, nutrition, or lifestyle exposure/intervention as specified by the source</x:v>
      </x:c>
      <x:c r="V72" s="27" t="str">
        <x:v>As specified by the source; not always reported in the abstract</x:v>
      </x:c>
      <x:c r="W72" s="27" t="str">
        <x:v>disease activity or topic-specific outcome as reported</x:v>
      </x:c>
      <x:c r="X72" s="27" t="str">
        <x:v>Automated metadata and passage extraction; full methods and tables require human review. Abstract-only record limits appraisal.</x:v>
      </x:c>
      <x:c r="Y72" s="27" t="str">
        <x:v>Region was not clearly North American; practical transferability requires local dietetic and healthcare context.</x:v>
      </x:c>
      <x:c r="Z72" s="27" t="str">
        <x:v>Scientifically relevant to Canada/US if disease context and intervention are comparable; food availability, cuisine, fortification, cost, cultural fit, and healthcare delivery may differ.</x:v>
      </x:c>
      <x:c r="AA72" s="27" t="str">
        <x:v>moderate</x:v>
      </x:c>
      <x:c r="AB72" s="27" t="str">
        <x:v>deterministic sentence selection</x:v>
      </x:c>
      <x:c r="AC72" s="27" t="str">
        <x:v>pending_human_review</x:v>
      </x:c>
      <x:c r="AD72" s="27" t="str">
        <x:v>wording_revision_recommended</x:v>
      </x:c>
      <x:c r="AE72" s="27" t="str">
        <x:v>CONCLUSION: CDED plus PEN was better tolerated than EEN in children with mild to moderate CD.</x:v>
      </x:c>
      <x:c r="AF72" s="27" t="str">
        <x:v>The cited source reports that cDED plus PEN was better tolerated than EEN in children with mild to moderate CD.</x:v>
      </x:c>
      <x:c r="AG72" s="27" t="str">
        <x:v>State the measured outcome precisely and avoid treating symptom change, biomarkers, and inflammation as interchangeable.</x:v>
      </x:c>
      <x:c r="AH72" s="27" t="str">
        <x:v>verified_against_public_abstract</x:v>
      </x:c>
      <x:c r="AI72" s="27" t="str"/>
      <x:c r="AJ72" s="27" t="str">
        <x:v>Review the proposed wording and approve only if the source, population, disease state, and outcome limitation are acceptable.</x:v>
      </x:c>
      <x:c r="AK72" s="30" t="str"/>
      <x:c r="AL72" s="30" t="str"/>
      <x:c r="AM72" s="30" t="str"/>
    </x:row>
    <x:row r="73" ht="96" customHeight="1">
      <x:c r="A73" s="27" t="str">
        <x:v>CLM-069</x:v>
      </x:c>
      <x:c r="B73" s="27" t="str">
        <x:v>SRC-018</x:v>
      </x:c>
      <x:c r="C73" s="27" t="str">
        <x:v>A Diet Low in Red and Processed Meat Does Not Reduce Rate of Crohn's Disease Flares.</x:v>
      </x:c>
      <x:c r="D73" s="27" t="str">
        <x:v>study</x:v>
      </x:c>
      <x:c r="E73" s="27" t="str">
        <x:v>https://pubmed.ncbi.nlm.nih.gov/30872105/</x:v>
      </x:c>
      <x:c r="F73" s="27" t="str">
        <x:v>crohns_disease</x:v>
      </x:c>
      <x:c r="G73" s="27" t="str">
        <x:v>general_or_unspecified</x:v>
      </x:c>
      <x:c r="H73" s="27" t="str">
        <x:v>red_processed_meat</x:v>
      </x:c>
      <x:c r="I73" s="27" t="str">
        <x:v>relapse_risk</x:v>
      </x:c>
      <x:c r="J73" s="27" t="str">
        <x:v>We performed a randomized controlled trial to determine whether reduced consumption of red and processed meats decreases the risk of symptomatic relapse of CD, analyzing results from the Food and Crohn's Disease Exacerbation Study (FACES) trial.</x:v>
      </x:c>
      <x:c r="K73" s="27" t="str">
        <x:v>In plain terms, the source reports: We performed a randomized controlled trial to determine whether reduced consumption of red and processed meats decreases the risk of symptomatic relapse of CD, analyzing results from the Food and Crohn's Disease Exacerbation Study (FACES) trial.</x:v>
      </x:c>
      <x:c r="L73" s="27" t="str">
        <x:v>Background explanation with source citation and explicit uncertainty; never personalized diagnosis or treatment advice.</x:v>
      </x:c>
      <x:c r="M73" s="27" t="str">
        <x:v>We performed a randomized controlled trial to determine whether reduced consumption of red and processed meats decreases the risk of symptomatic relapse of CD, analyzing results from the Food and Crohn's Disease Exacerbation Study (FACES) trial.</x:v>
      </x:c>
      <x:c r="N73" s="27" t="str">
        <x:v>PubMed abstract</x:v>
      </x:c>
      <x:c r="O73" s="27" t="str"/>
      <x:c r="P73" s="27" t="str">
        <x:v>randomized_trial</x:v>
      </x:c>
      <x:c r="Q73" s="27" t="str">
        <x:v>randomized controlled trial</x:v>
      </x:c>
      <x:c r="R73" s="27" t="str">
        <x:v>Adults with IBD, as specified</x:v>
      </x:c>
      <x:c r="S73" s="27" t="str">
        <x:v>118</x:v>
      </x:c>
      <x:c r="T73" s="27" t="str">
        <x:v>Not reported in abstract</x:v>
      </x:c>
      <x:c r="U73" s="27" t="str">
        <x:v>Diet, nutrition, or lifestyle exposure/intervention as specified by the source</x:v>
      </x:c>
      <x:c r="V73" s="27" t="str">
        <x:v>As specified by the source; not always reported in the abstract</x:v>
      </x:c>
      <x:c r="W73" s="27" t="str">
        <x:v>relapse risk</x:v>
      </x:c>
      <x:c r="X73" s="27" t="str">
        <x:v>Automated metadata and passage extraction; full methods and tables require human review. Public full text available for deeper review.</x:v>
      </x:c>
      <x:c r="Y73" s="27" t="str">
        <x:v>Region was not clearly North American; practical transferability requires local dietetic and healthcare context.</x:v>
      </x:c>
      <x:c r="Z73" s="27" t="str">
        <x:v>Scientifically relevant to Canada/US if disease context and intervention are comparable; food availability, cuisine, fortification, cost, cultural fit, and healthcare delivery may differ.</x:v>
      </x:c>
      <x:c r="AA73" s="27" t="str">
        <x:v>high</x:v>
      </x:c>
      <x:c r="AB73" s="27" t="str">
        <x:v>deterministic sentence selection</x:v>
      </x:c>
      <x:c r="AC73" s="27" t="str">
        <x:v>pending_human_review</x:v>
      </x:c>
      <x:c r="AD73" s="27" t="str">
        <x:v>reject_recommended</x:v>
      </x:c>
      <x:c r="AE73" s="27" t="str">
        <x:v>We performed a randomized controlled trial to determine whether reduced consumption of red and processed meats decreases the risk of symptomatic relapse of CD, analyzing results from the Food and Crohn's Disease Exacerbation Study (FACES) trial.</x:v>
      </x:c>
      <x:c r="AF73" s="27" t="str"/>
      <x:c r="AG73" s="27" t="str">
        <x:v>This is a methods, background, sample-description, vague, or non-actionable sentence rather than a safe atomic evidence claim; or it falls outside the product's non-diagnostic, non-treatment scope.</x:v>
      </x:c>
      <x:c r="AH73" s="27" t="str">
        <x:v>verified_against_public_abstract</x:v>
      </x:c>
      <x:c r="AI73" s="27" t="str"/>
      <x:c r="AJ73" s="27" t="str">
        <x:v>Reject unless a reviewer identifies a distinct, directly supported informational use.</x:v>
      </x:c>
      <x:c r="AK73" s="30" t="str"/>
      <x:c r="AL73" s="30" t="str"/>
      <x:c r="AM73" s="30" t="str"/>
    </x:row>
    <x:row r="74" ht="96" customHeight="1">
      <x:c r="A74" s="27" t="str">
        <x:v>CLM-070</x:v>
      </x:c>
      <x:c r="B74" s="27" t="str">
        <x:v>SRC-018</x:v>
      </x:c>
      <x:c r="C74" s="27" t="str">
        <x:v>A Diet Low in Red and Processed Meat Does Not Reduce Rate of Crohn's Disease Flares.</x:v>
      </x:c>
      <x:c r="D74" s="27" t="str">
        <x:v>study</x:v>
      </x:c>
      <x:c r="E74" s="27" t="str">
        <x:v>https://pubmed.ncbi.nlm.nih.gov/30872105/</x:v>
      </x:c>
      <x:c r="F74" s="27" t="str">
        <x:v>crohns_disease; ibd_general</x:v>
      </x:c>
      <x:c r="G74" s="27" t="str">
        <x:v>general_or_unspecified</x:v>
      </x:c>
      <x:c r="H74" s="27" t="str">
        <x:v>red_processed_meat</x:v>
      </x:c>
      <x:c r="I74" s="27" t="str">
        <x:v>disease_activity</x:v>
      </x:c>
      <x:c r="J74" s="27" t="str">
        <x:v>RESULTS: During the trial, the high-meat groups reported consumption of 2 or more servings of red or processed meat during 98.5% of observed weeks compared with 18.8% of weeks for the low-meat group.</x:v>
      </x:c>
      <x:c r="K74" s="27" t="str">
        <x:v>In plain terms, the source reports: RESULTS: During the trial, the high-meat groups reported consumption of 2 or more servings of red or processed meat during 98.5% of observed weeks compared with 18.8% of weeks for the low-meat group.</x:v>
      </x:c>
      <x:c r="L74" s="27" t="str">
        <x:v>Background explanation with source citation and explicit uncertainty; never personalized diagnosis or treatment advice.</x:v>
      </x:c>
      <x:c r="M74" s="27" t="str">
        <x:v>RESULTS: During the trial, the high-meat groups reported consumption of 2 or more servings of red or processed meat during 98.5% of observed weeks compared with 18.8% of weeks for the low-meat group.</x:v>
      </x:c>
      <x:c r="N74" s="27" t="str">
        <x:v>PubMed abstract</x:v>
      </x:c>
      <x:c r="O74" s="27" t="str"/>
      <x:c r="P74" s="27" t="str">
        <x:v>randomized_trial</x:v>
      </x:c>
      <x:c r="Q74" s="27" t="str">
        <x:v>randomized controlled trial</x:v>
      </x:c>
      <x:c r="R74" s="27" t="str">
        <x:v>Adults with IBD, as specified</x:v>
      </x:c>
      <x:c r="S74" s="27" t="str">
        <x:v>118</x:v>
      </x:c>
      <x:c r="T74" s="27" t="str">
        <x:v>Not reported in abstract</x:v>
      </x:c>
      <x:c r="U74" s="27" t="str">
        <x:v>Diet, nutrition, or lifestyle exposure/intervention as specified by the source</x:v>
      </x:c>
      <x:c r="V74" s="27" t="str">
        <x:v>As specified by the source; not always reported in the abstract</x:v>
      </x:c>
      <x:c r="W74" s="27" t="str">
        <x:v>disease activity or topic-specific outcome as reported</x:v>
      </x:c>
      <x:c r="X74" s="27" t="str">
        <x:v>Automated metadata and passage extraction; full methods and tables require human review. Public full text available for deeper review.</x:v>
      </x:c>
      <x:c r="Y74" s="27" t="str">
        <x:v>Region was not clearly North American; practical transferability requires local dietetic and healthcare context.</x:v>
      </x:c>
      <x:c r="Z74" s="27" t="str">
        <x:v>Scientifically relevant to Canada/US if disease context and intervention are comparable; food availability, cuisine, fortification, cost, cultural fit, and healthcare delivery may differ.</x:v>
      </x:c>
      <x:c r="AA74" s="27" t="str">
        <x:v>high</x:v>
      </x:c>
      <x:c r="AB74" s="27" t="str">
        <x:v>deterministic sentence selection</x:v>
      </x:c>
      <x:c r="AC74" s="27" t="str">
        <x:v>pending_human_review</x:v>
      </x:c>
      <x:c r="AD74" s="27" t="str">
        <x:v>reject_recommended</x:v>
      </x:c>
      <x:c r="AE74" s="27" t="str">
        <x:v>RESULTS: During the trial, the high-meat groups reported consumption of 2 or more servings of red or processed meat during 98.5% of observed weeks compared with 18.8% of weeks for the low-meat group.</x:v>
      </x:c>
      <x:c r="AF74" s="27" t="str"/>
      <x:c r="AG74" s="27" t="str">
        <x:v>This is a methods, background, sample-description, vague, or non-actionable sentence rather than a safe atomic evidence claim; or it falls outside the product's non-diagnostic, non-treatment scope.</x:v>
      </x:c>
      <x:c r="AH74" s="27" t="str">
        <x:v>verified_against_public_abstract</x:v>
      </x:c>
      <x:c r="AI74" s="27" t="str"/>
      <x:c r="AJ74" s="27" t="str">
        <x:v>Reject unless a reviewer identifies a distinct, directly supported informational use.</x:v>
      </x:c>
      <x:c r="AK74" s="30" t="str"/>
      <x:c r="AL74" s="30" t="str"/>
      <x:c r="AM74" s="30" t="str"/>
    </x:row>
    <x:row r="75" ht="96" customHeight="1">
      <x:c r="A75" s="27" t="str">
        <x:v>CLM-071</x:v>
      </x:c>
      <x:c r="B75" s="27" t="str">
        <x:v>SRC-018</x:v>
      </x:c>
      <x:c r="C75" s="27" t="str">
        <x:v>A Diet Low in Red and Processed Meat Does Not Reduce Rate of Crohn's Disease Flares.</x:v>
      </x:c>
      <x:c r="D75" s="27" t="str">
        <x:v>study</x:v>
      </x:c>
      <x:c r="E75" s="27" t="str">
        <x:v>https://pubmed.ncbi.nlm.nih.gov/30872105/</x:v>
      </x:c>
      <x:c r="F75" s="27" t="str">
        <x:v>crohns_disease; ibd_general</x:v>
      </x:c>
      <x:c r="G75" s="27" t="str">
        <x:v>remission</x:v>
      </x:c>
      <x:c r="H75" s="27" t="str">
        <x:v>red_processed_meat</x:v>
      </x:c>
      <x:c r="I75" s="27" t="str">
        <x:v>relapse_risk</x:v>
      </x:c>
      <x:c r="J75" s="27" t="str">
        <x:v>CONCLUSIONS: In an analysis of data from the FACES trial, we found that among patients with CD in remission, level of red and processed meat consumption was not associated with time to symptomatic relapse.</x:v>
      </x:c>
      <x:c r="K75" s="27" t="str">
        <x:v>In plain terms, the source reports: CONCLUSIONS: In an analysis of data from the FACES trial, we found that among patients with CD in remission, level of red and processed meat consumption was not associated with time to symptomatic relapse.</x:v>
      </x:c>
      <x:c r="L75" s="27" t="str">
        <x:v>Background explanation with source citation and explicit uncertainty; never personalized diagnosis or treatment advice.</x:v>
      </x:c>
      <x:c r="M75" s="27" t="str">
        <x:v>CONCLUSIONS: In an analysis of data from the FACES trial, we found that among patients with CD in remission, level of red and processed meat consumption was not associated with time to symptomatic relapse.</x:v>
      </x:c>
      <x:c r="N75" s="27" t="str">
        <x:v>PubMed abstract</x:v>
      </x:c>
      <x:c r="O75" s="27" t="str"/>
      <x:c r="P75" s="27" t="str">
        <x:v>randomized_trial</x:v>
      </x:c>
      <x:c r="Q75" s="27" t="str">
        <x:v>randomized controlled trial</x:v>
      </x:c>
      <x:c r="R75" s="27" t="str">
        <x:v>Adults with IBD, as specified</x:v>
      </x:c>
      <x:c r="S75" s="27" t="str">
        <x:v>118</x:v>
      </x:c>
      <x:c r="T75" s="27" t="str">
        <x:v>Not reported in abstract</x:v>
      </x:c>
      <x:c r="U75" s="27" t="str">
        <x:v>Diet, nutrition, or lifestyle exposure/intervention as specified by the source</x:v>
      </x:c>
      <x:c r="V75" s="27" t="str">
        <x:v>As specified by the source; not always reported in the abstract</x:v>
      </x:c>
      <x:c r="W75" s="27" t="str">
        <x:v>remission induction or maintenance (as specified)</x:v>
      </x:c>
      <x:c r="X75" s="27" t="str">
        <x:v>Automated metadata and passage extraction; full methods and tables require human review. Public full text available for deeper review.</x:v>
      </x:c>
      <x:c r="Y75" s="27" t="str">
        <x:v>Region was not clearly North American; practical transferability requires local dietetic and healthcare context.</x:v>
      </x:c>
      <x:c r="Z75" s="27" t="str">
        <x:v>Scientifically relevant to Canada/US if disease context and intervention are comparable; food availability, cuisine, fortification, cost, cultural fit, and healthcare delivery may differ.</x:v>
      </x:c>
      <x:c r="AA75" s="27" t="str">
        <x:v>high</x:v>
      </x:c>
      <x:c r="AB75" s="27" t="str">
        <x:v>deterministic sentence selection</x:v>
      </x:c>
      <x:c r="AC75" s="27" t="str">
        <x:v>pending_human_review</x:v>
      </x:c>
      <x:c r="AD75" s="27" t="str">
        <x:v>wording_revision_recommended</x:v>
      </x:c>
      <x:c r="AE75" s="27" t="str">
        <x:v>CONCLUSIONS: In an analysis of data from the FACES trial, we found that among patients with CD in remission, level of red and processed meat consumption was not associated with time to symptomatic relapse.</x:v>
      </x:c>
      <x:c r="AF75" s="27"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AG75" s="27" t="str">
        <x:v>Keep the observational or incidence framing explicit; do not convert association into causal or individual disease-course advice.</x:v>
      </x:c>
      <x:c r="AH75" s="27" t="str">
        <x:v>verified_against_public_abstract</x:v>
      </x:c>
      <x:c r="AI75" s="27" t="str"/>
      <x:c r="AJ75" s="27" t="str">
        <x:v>Review the proposed wording and approve only if the source, population, disease state, and outcome limitation are acceptable.</x:v>
      </x:c>
      <x:c r="AK75" s="30" t="str"/>
      <x:c r="AL75" s="30" t="str"/>
      <x:c r="AM75" s="30" t="str"/>
    </x:row>
    <x:row r="76" ht="96" customHeight="1">
      <x:c r="A76" s="27" t="str">
        <x:v>CLM-072</x:v>
      </x:c>
      <x:c r="B76" s="27" t="str">
        <x:v>SRC-018</x:v>
      </x:c>
      <x:c r="C76" s="27" t="str">
        <x:v>A Diet Low in Red and Processed Meat Does Not Reduce Rate of Crohn's Disease Flares.</x:v>
      </x:c>
      <x:c r="D76" s="27" t="str">
        <x:v>study</x:v>
      </x:c>
      <x:c r="E76" s="27" t="str">
        <x:v>https://pubmed.ncbi.nlm.nih.gov/30872105/</x:v>
      </x:c>
      <x:c r="F76" s="27" t="str">
        <x:v>crohns_disease; ibd_general</x:v>
      </x:c>
      <x:c r="G76" s="27" t="str">
        <x:v>remission</x:v>
      </x:c>
      <x:c r="H76" s="27" t="str">
        <x:v>red_processed_meat</x:v>
      </x:c>
      <x:c r="I76" s="27" t="str">
        <x:v>disease_activity</x:v>
      </x:c>
      <x:c r="J76"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K76" s="27" t="str">
        <x:v>In plain terms, the source reports: 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L76" s="27" t="str">
        <x:v>Background explanation with source citation and explicit uncertainty; never personalized diagnosis or treatment advice.</x:v>
      </x:c>
      <x:c r="M76"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N76" s="27" t="str">
        <x:v>PubMed abstract</x:v>
      </x:c>
      <x:c r="O76" s="27" t="str"/>
      <x:c r="P76" s="27" t="str">
        <x:v>randomized_trial</x:v>
      </x:c>
      <x:c r="Q76" s="27" t="str">
        <x:v>randomized controlled trial</x:v>
      </x:c>
      <x:c r="R76" s="27" t="str">
        <x:v>Adults with IBD, as specified</x:v>
      </x:c>
      <x:c r="S76" s="27" t="str">
        <x:v>118</x:v>
      </x:c>
      <x:c r="T76" s="27" t="str">
        <x:v>Not reported in abstract</x:v>
      </x:c>
      <x:c r="U76" s="27" t="str">
        <x:v>Diet, nutrition, or lifestyle exposure/intervention as specified by the source</x:v>
      </x:c>
      <x:c r="V76" s="27" t="str">
        <x:v>As specified by the source; not always reported in the abstract</x:v>
      </x:c>
      <x:c r="W76" s="27" t="str">
        <x:v>remission induction or maintenance (as specified)</x:v>
      </x:c>
      <x:c r="X76" s="27" t="str">
        <x:v>Automated metadata and passage extraction; full methods and tables require human review. Public full text available for deeper review.</x:v>
      </x:c>
      <x:c r="Y76" s="27" t="str">
        <x:v>Region was not clearly North American; practical transferability requires local dietetic and healthcare context.</x:v>
      </x:c>
      <x:c r="Z76" s="27" t="str">
        <x:v>Scientifically relevant to Canada/US if disease context and intervention are comparable; food availability, cuisine, fortification, cost, cultural fit, and healthcare delivery may differ.</x:v>
      </x:c>
      <x:c r="AA76" s="27" t="str">
        <x:v>high</x:v>
      </x:c>
      <x:c r="AB76" s="27" t="str">
        <x:v>deterministic sentence selection</x:v>
      </x:c>
      <x:c r="AC76" s="27" t="str">
        <x:v>pending_human_review</x:v>
      </x:c>
      <x:c r="AD76" s="27" t="str">
        <x:v>reject_recommended</x:v>
      </x:c>
      <x:c r="AE76"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AF76" s="27" t="str"/>
      <x:c r="AG76" s="27" t="str">
        <x:v>This is a methods, background, sample-description, vague, or non-actionable sentence rather than a safe atomic evidence claim; or it falls outside the product's non-diagnostic, non-treatment scope.</x:v>
      </x:c>
      <x:c r="AH76" s="27" t="str">
        <x:v>verified_against_public_abstract</x:v>
      </x:c>
      <x:c r="AI76" s="27" t="str"/>
      <x:c r="AJ76" s="27" t="str">
        <x:v>Reject unless a reviewer identifies a distinct, directly supported informational use.</x:v>
      </x:c>
      <x:c r="AK76" s="30" t="str"/>
      <x:c r="AL76" s="30" t="str"/>
      <x:c r="AM76" s="30" t="str"/>
    </x:row>
    <x:row r="77" ht="96" customHeight="1">
      <x:c r="A77" s="27" t="str">
        <x:v>CLM-073</x:v>
      </x:c>
      <x:c r="B77" s="27" t="str">
        <x:v>SRC-019</x:v>
      </x:c>
      <x:c r="C77" s="27" t="str">
        <x:v>A randomized, 6-wk trial of a low FODMAP diet in patients with inflammatory bowel disease.</x:v>
      </x:c>
      <x:c r="D77" s="27" t="str">
        <x:v>study</x:v>
      </x:c>
      <x:c r="E77" s="27" t="str">
        <x:v>https://pubmed.ncbi.nlm.nih.gov/31470260/</x:v>
      </x:c>
      <x:c r="F77" s="27" t="str">
        <x:v>ibd_general</x:v>
      </x:c>
      <x:c r="G77" s="27" t="str">
        <x:v>remission</x:v>
      </x:c>
      <x:c r="H77" s="27" t="str">
        <x:v>stress_quality_of_life</x:v>
      </x:c>
      <x:c r="I77" s="27" t="str">
        <x:v>quality_of_life</x:v>
      </x:c>
      <x:c r="J77" s="27" t="str">
        <x:v>CONCLUSIONS: A short-term, LFD is safe for patients with IBD, and is associated with an amelioration of fecal inflammatory markers and quality of life even in patients with mainly quiescent disease.</x:v>
      </x:c>
      <x:c r="K77" s="27" t="str">
        <x:v>In plain terms, the source reports: CONCLUSIONS: A short-term, LFD is safe for patients with inflammatory bowel disease, and is associated with an amelioration of fecal inflammatory markers and quality of life even in patients with mainly quiescent disease.</x:v>
      </x:c>
      <x:c r="L77" s="27" t="str">
        <x:v>Background explanation with source citation and explicit uncertainty; never personalized diagnosis or treatment advice.</x:v>
      </x:c>
      <x:c r="M77" s="27" t="str">
        <x:v>CONCLUSIONS: A short-term, LFD is safe for patients with IBD, and is associated with an amelioration of fecal inflammatory markers and quality of life even in patients with mainly quiescent disease.</x:v>
      </x:c>
      <x:c r="N77" s="27" t="str">
        <x:v>PubMed abstract</x:v>
      </x:c>
      <x:c r="O77" s="27" t="str"/>
      <x:c r="P77" s="27" t="str">
        <x:v>randomized_trial</x:v>
      </x:c>
      <x:c r="Q77" s="27" t="str">
        <x:v>randomized controlled trial</x:v>
      </x:c>
      <x:c r="R77" s="27" t="str">
        <x:v>People with IBD or source-defined population; details require full-text review</x:v>
      </x:c>
      <x:c r="S77" s="27" t="str">
        <x:v>Not reported in extracted metadata</x:v>
      </x:c>
      <x:c r="T77" s="27" t="str">
        <x:v>Not reported in abstract</x:v>
      </x:c>
      <x:c r="U77" s="27" t="str">
        <x:v>Diet, nutrition, or lifestyle exposure/intervention as specified by the source</x:v>
      </x:c>
      <x:c r="V77" s="27" t="str">
        <x:v>As specified by the source; not always reported in the abstract</x:v>
      </x:c>
      <x:c r="W77" s="27" t="str">
        <x:v>quality of life</x:v>
      </x:c>
      <x:c r="X77" s="27" t="str">
        <x:v>Automated metadata and passage extraction; full methods and tables require human review. Abstract-only record limits appraisal.</x:v>
      </x:c>
      <x:c r="Y77" s="27" t="str">
        <x:v>Region was not clearly North American; practical transferability requires local dietetic and healthcare context.</x:v>
      </x:c>
      <x:c r="Z77" s="27" t="str">
        <x:v>Scientifically relevant to Canada/US if disease context and intervention are comparable; food availability, cuisine, fortification, cost, cultural fit, and healthcare delivery may differ.</x:v>
      </x:c>
      <x:c r="AA77" s="27" t="str">
        <x:v>moderate</x:v>
      </x:c>
      <x:c r="AB77" s="27" t="str">
        <x:v>deterministic sentence selection</x:v>
      </x:c>
      <x:c r="AC77" s="27" t="str">
        <x:v>pending_human_review</x:v>
      </x:c>
      <x:c r="AD77" s="27" t="str">
        <x:v>wording_revision_recommended</x:v>
      </x:c>
      <x:c r="AE77" s="27" t="str">
        <x:v>CONCLUSIONS: A short-term, LFD is safe for patients with IBD, and is associated with an amelioration of fecal inflammatory markers and quality of life even in patients with mainly quiescent disease.</x:v>
      </x:c>
      <x:c r="AF77" s="27"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AG77" s="27" t="str">
        <x:v>Keep the observational or incidence framing explicit; do not convert association into causal or individual disease-course advice.</x:v>
      </x:c>
      <x:c r="AH77" s="27" t="str">
        <x:v>verified_against_public_abstract</x:v>
      </x:c>
      <x:c r="AI77" s="27" t="str"/>
      <x:c r="AJ77" s="27" t="str">
        <x:v>Review the proposed wording and approve only if the source, population, disease state, and outcome limitation are acceptable.</x:v>
      </x:c>
      <x:c r="AK77" s="30" t="str"/>
      <x:c r="AL77" s="30" t="str"/>
      <x:c r="AM77" s="30" t="str"/>
    </x:row>
    <x:row r="78" ht="96" customHeight="1">
      <x:c r="A78" s="27" t="str">
        <x:v>CLM-074</x:v>
      </x:c>
      <x:c r="B78" s="27" t="str">
        <x:v>SRC-019</x:v>
      </x:c>
      <x:c r="C78" s="27" t="str">
        <x:v>A randomized, 6-wk trial of a low FODMAP diet in patients with inflammatory bowel disease.</x:v>
      </x:c>
      <x:c r="D78" s="27" t="str">
        <x:v>study</x:v>
      </x:c>
      <x:c r="E78" s="27" t="str">
        <x:v>https://pubmed.ncbi.nlm.nih.gov/31470260/</x:v>
      </x:c>
      <x:c r="F78" s="27" t="str">
        <x:v>ibd_general</x:v>
      </x:c>
      <x:c r="G78" s="27" t="str">
        <x:v>general_or_unspecified</x:v>
      </x:c>
      <x:c r="H78" s="27" t="str">
        <x:v>core_condition_knowledge</x:v>
      </x:c>
      <x:c r="I78" s="27" t="str">
        <x:v>disease_activity</x:v>
      </x:c>
      <x:c r="J78" s="27" t="str">
        <x:v>RESULTS: After the 6-wk dietary intervention, median HBi decreased in the LFD (4; IQR, 3-5 versus 3; IQR, 2-3; P = 0.024) but not in the SD (3; IQR, 3-3 versus 3; IQR, 2-4), whereas Mayo scores were numerically decreased in the LFD group and unmodified in the SD group.</x:v>
      </x:c>
      <x:c r="K78" s="27" t="str">
        <x:v>In plain terms, the source reports: RESULTS: After the 6-wk dietary intervention, median HBi decreased in the LFD (4; IQR, 3-5 versus 3; IQR, 2-3; P = 0.024) but not in the SD (3; IQR, 3-3 versus 3; IQR, 2-4), whereas Mayo scores were numerically decreased in the LFD group and unmodified in the SD group.</x:v>
      </x:c>
      <x:c r="L78" s="27" t="str">
        <x:v>Background explanation with source citation and explicit uncertainty; never personalized diagnosis or treatment advice.</x:v>
      </x:c>
      <x:c r="M78" s="27" t="str">
        <x:v>RESULTS: After the 6-wk dietary intervention, median HBi decreased in the LFD (4; IQR, 3-5 versus 3; IQR, 2-3; P = 0.024) but not in the SD (3; IQR, 3-3 versus 3; IQR, 2-4), whereas Mayo scores were numerically decreased in the LFD group and unmodified in the SD group.</x:v>
      </x:c>
      <x:c r="N78" s="27" t="str">
        <x:v>PubMed abstract</x:v>
      </x:c>
      <x:c r="O78" s="27" t="str"/>
      <x:c r="P78" s="27" t="str">
        <x:v>randomized_trial</x:v>
      </x:c>
      <x:c r="Q78" s="27" t="str">
        <x:v>randomized controlled trial</x:v>
      </x:c>
      <x:c r="R78" s="27" t="str">
        <x:v>People with IBD or source-defined population; details require full-text review</x:v>
      </x:c>
      <x:c r="S78" s="27" t="str">
        <x:v>Not reported in extracted metadata</x:v>
      </x:c>
      <x:c r="T78" s="27" t="str">
        <x:v>Not reported in abstract</x:v>
      </x:c>
      <x:c r="U78" s="27" t="str">
        <x:v>Diet, nutrition, or lifestyle exposure/intervention as specified by the source</x:v>
      </x:c>
      <x:c r="V78" s="27" t="str">
        <x:v>As specified by the source; not always reported in the abstract</x:v>
      </x:c>
      <x:c r="W78" s="27" t="str">
        <x:v>disease activity or topic-specific outcome as reported</x:v>
      </x:c>
      <x:c r="X78" s="27" t="str">
        <x:v>Automated metadata and passage extraction; full methods and tables require human review. Abstract-only record limits appraisal.</x:v>
      </x:c>
      <x:c r="Y78" s="27" t="str">
        <x:v>Region was not clearly North American; practical transferability requires local dietetic and healthcare context.</x:v>
      </x:c>
      <x:c r="Z78" s="27" t="str">
        <x:v>Scientifically relevant to Canada/US if disease context and intervention are comparable; food availability, cuisine, fortification, cost, cultural fit, and healthcare delivery may differ.</x:v>
      </x:c>
      <x:c r="AA78" s="27" t="str">
        <x:v>moderate</x:v>
      </x:c>
      <x:c r="AB78" s="27" t="str">
        <x:v>deterministic sentence selection</x:v>
      </x:c>
      <x:c r="AC78" s="27" t="str">
        <x:v>pending_human_review</x:v>
      </x:c>
      <x:c r="AD78" s="27" t="str">
        <x:v>wording_revision_recommended</x:v>
      </x:c>
      <x:c r="AE78" s="27" t="str">
        <x:v>RESULTS: After the 6-wk dietary intervention, median HBi decreased in the LFD (4; IQR, 3-5 versus 3; IQR, 2-3; P = 0.024) but not in the SD (3; IQR, 3-3 versus 3; IQR, 2-4), whereas Mayo scores were numerically decreased in the LFD group and unmodified in the SD group.</x:v>
      </x:c>
      <x:c r="AF78" s="27"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AG78" s="27" t="str">
        <x:v>State the measured outcome precisely and avoid treating symptom change, biomarkers, and inflammation as interchangeable.</x:v>
      </x:c>
      <x:c r="AH78" s="27" t="str">
        <x:v>verified_against_public_abstract</x:v>
      </x:c>
      <x:c r="AI78" s="27" t="str"/>
      <x:c r="AJ78" s="27" t="str">
        <x:v>Review the proposed wording and approve only if the source, population, disease state, and outcome limitation are acceptable.</x:v>
      </x:c>
      <x:c r="AK78" s="30" t="str"/>
      <x:c r="AL78" s="30" t="str"/>
      <x:c r="AM78" s="30" t="str"/>
    </x:row>
    <x:row r="79" ht="96" customHeight="1">
      <x:c r="A79" s="27" t="str">
        <x:v>CLM-075</x:v>
      </x:c>
      <x:c r="B79" s="27" t="str">
        <x:v>SRC-019</x:v>
      </x:c>
      <x:c r="C79" s="27" t="str">
        <x:v>A randomized, 6-wk trial of a low FODMAP diet in patients with inflammatory bowel disease.</x:v>
      </x:c>
      <x:c r="D79" s="27" t="str">
        <x:v>study</x:v>
      </x:c>
      <x:c r="E79" s="27" t="str">
        <x:v>https://pubmed.ncbi.nlm.nih.gov/31470260/</x:v>
      </x:c>
      <x:c r="F79" s="27" t="str">
        <x:v>ibd_general</x:v>
      </x:c>
      <x:c r="G79" s="27" t="str">
        <x:v>general_or_unspecified</x:v>
      </x:c>
      <x:c r="H79" s="27" t="str">
        <x:v>symptoms_vs_inflammation</x:v>
      </x:c>
      <x:c r="I79" s="27" t="str">
        <x:v>symptoms</x:v>
      </x:c>
      <x:c r="J79" s="27" t="str">
        <x:v>METHODS: An LFD is associated with symptom improvement in patients with functional intestinal disorders, although its safety and efficacy has not been characterized in patients with IBD.</x:v>
      </x:c>
      <x:c r="K79" s="27" t="str">
        <x:v>In plain terms, the source reports: METHODS: An LFD is associated with symptom improvement in patients with functional intestinal disorders, although its safety and efficacy has not been characterized in patients with inflammatory bowel disease.</x:v>
      </x:c>
      <x:c r="L79" s="27" t="str">
        <x:v>Background explanation with source citation and explicit uncertainty; never personalized diagnosis or treatment advice.</x:v>
      </x:c>
      <x:c r="M79" s="27" t="str">
        <x:v>METHODS: An LFD is associated with symptom improvement in patients with functional intestinal disorders, although its safety and efficacy has not been characterized in patients with IBD.</x:v>
      </x:c>
      <x:c r="N79" s="27" t="str">
        <x:v>PubMed abstract</x:v>
      </x:c>
      <x:c r="O79" s="27" t="str"/>
      <x:c r="P79" s="27" t="str">
        <x:v>randomized_trial</x:v>
      </x:c>
      <x:c r="Q79" s="27" t="str">
        <x:v>randomized controlled trial</x:v>
      </x:c>
      <x:c r="R79" s="27" t="str">
        <x:v>People with IBD or source-defined population; details require full-text review</x:v>
      </x:c>
      <x:c r="S79" s="27" t="str">
        <x:v>Not reported in extracted metadata</x:v>
      </x:c>
      <x:c r="T79" s="27" t="str">
        <x:v>Not reported in abstract</x:v>
      </x:c>
      <x:c r="U79" s="27" t="str">
        <x:v>Diet, nutrition, or lifestyle exposure/intervention as specified by the source</x:v>
      </x:c>
      <x:c r="V79" s="27" t="str">
        <x:v>As specified by the source; not always reported in the abstract</x:v>
      </x:c>
      <x:c r="W79" s="27" t="str">
        <x:v>symptoms</x:v>
      </x:c>
      <x:c r="X79" s="27" t="str">
        <x:v>Automated metadata and passage extraction; full methods and tables require human review. Abstract-only record limits appraisal.</x:v>
      </x:c>
      <x:c r="Y79" s="27" t="str">
        <x:v>Region was not clearly North American; practical transferability requires local dietetic and healthcare context.</x:v>
      </x:c>
      <x:c r="Z79" s="27" t="str">
        <x:v>Scientifically relevant to Canada/US if disease context and intervention are comparable; food availability, cuisine, fortification, cost, cultural fit, and healthcare delivery may differ.</x:v>
      </x:c>
      <x:c r="AA79" s="27" t="str">
        <x:v>moderate</x:v>
      </x:c>
      <x:c r="AB79" s="27" t="str">
        <x:v>deterministic sentence selection</x:v>
      </x:c>
      <x:c r="AC79" s="27" t="str">
        <x:v>pending_human_review</x:v>
      </x:c>
      <x:c r="AD79" s="27" t="str">
        <x:v>reject_recommended</x:v>
      </x:c>
      <x:c r="AE79" s="27" t="str">
        <x:v>METHODS: An LFD is associated with symptom improvement in patients with functional intestinal disorders, although its safety and efficacy has not been characterized in patients with IBD.</x:v>
      </x:c>
      <x:c r="AF79" s="27" t="str"/>
      <x:c r="AG79" s="27" t="str">
        <x:v>This is a methods, background, sample-description, vague, or non-actionable sentence rather than a safe atomic evidence claim; or it falls outside the product's non-diagnostic, non-treatment scope.</x:v>
      </x:c>
      <x:c r="AH79" s="27" t="str">
        <x:v>verified_against_public_abstract</x:v>
      </x:c>
      <x:c r="AI79" s="27" t="str"/>
      <x:c r="AJ79" s="27" t="str">
        <x:v>Reject unless a reviewer identifies a distinct, directly supported informational use.</x:v>
      </x:c>
      <x:c r="AK79" s="30" t="str"/>
      <x:c r="AL79" s="30" t="str"/>
      <x:c r="AM79" s="30" t="str"/>
    </x:row>
    <x:row r="80" ht="96" customHeight="1">
      <x:c r="A80" s="27" t="str">
        <x:v>CLM-076</x:v>
      </x:c>
      <x:c r="B80" s="27" t="str">
        <x:v>SRC-019</x:v>
      </x:c>
      <x:c r="C80" s="27" t="str">
        <x:v>A randomized, 6-wk trial of a low FODMAP diet in patients with inflammatory bowel disease.</x:v>
      </x:c>
      <x:c r="D80" s="27" t="str">
        <x:v>study</x:v>
      </x:c>
      <x:c r="E80" s="27" t="str">
        <x:v>https://pubmed.ncbi.nlm.nih.gov/31470260/</x:v>
      </x:c>
      <x:c r="F80" s="27" t="str">
        <x:v>ibd_general</x:v>
      </x:c>
      <x:c r="G80" s="27" t="str">
        <x:v>general_or_unspecified</x:v>
      </x:c>
      <x:c r="H80" s="27" t="str">
        <x:v>stress_quality_of_life</x:v>
      </x:c>
      <x:c r="I80" s="27" t="str">
        <x:v>quality_of_life</x:v>
      </x:c>
      <x:c r="J80" s="27" t="str">
        <x:v>Disease activity (Harvey-Bradshaw index [HBi], partial Mayo score), fecal calprotectin, and disease-specific quality of life (IBD-Q) were assessed at baseline and at the end of dietary intervention.</x:v>
      </x:c>
      <x:c r="K80" s="27" t="str">
        <x:v>In plain terms, the source reports: Disease activity (Harvey-Bradshaw index [HBi], partial Mayo score), fecal calprotectin, and disease-specific quality of life (inflammatory bowel disease-Q) were assessed at baseline and at the end of dietary intervention.</x:v>
      </x:c>
      <x:c r="L80" s="27" t="str">
        <x:v>Background explanation with source citation and explicit uncertainty; never personalized diagnosis or treatment advice.</x:v>
      </x:c>
      <x:c r="M80" s="27" t="str">
        <x:v>Disease activity (Harvey-Bradshaw index [HBi], partial Mayo score), fecal calprotectin, and disease-specific quality of life (IBD-Q) were assessed at baseline and at the end of dietary intervention.</x:v>
      </x:c>
      <x:c r="N80" s="27" t="str">
        <x:v>PubMed abstract</x:v>
      </x:c>
      <x:c r="O80" s="27" t="str"/>
      <x:c r="P80" s="27" t="str">
        <x:v>randomized_trial</x:v>
      </x:c>
      <x:c r="Q80" s="27" t="str">
        <x:v>randomized controlled trial</x:v>
      </x:c>
      <x:c r="R80" s="27" t="str">
        <x:v>People with IBD or source-defined population; details require full-text review</x:v>
      </x:c>
      <x:c r="S80" s="27" t="str">
        <x:v>Not reported in extracted metadata</x:v>
      </x:c>
      <x:c r="T80" s="27" t="str">
        <x:v>Not reported in abstract</x:v>
      </x:c>
      <x:c r="U80" s="27" t="str">
        <x:v>Diet, nutrition, or lifestyle exposure/intervention as specified by the source</x:v>
      </x:c>
      <x:c r="V80" s="27" t="str">
        <x:v>As specified by the source; not always reported in the abstract</x:v>
      </x:c>
      <x:c r="W80" s="27" t="str">
        <x:v>quality of life</x:v>
      </x:c>
      <x:c r="X80" s="27" t="str">
        <x:v>Automated metadata and passage extraction; full methods and tables require human review. Abstract-only record limits appraisal.</x:v>
      </x:c>
      <x:c r="Y80" s="27" t="str">
        <x:v>Region was not clearly North American; practical transferability requires local dietetic and healthcare context.</x:v>
      </x:c>
      <x:c r="Z80" s="27" t="str">
        <x:v>Scientifically relevant to Canada/US if disease context and intervention are comparable; food availability, cuisine, fortification, cost, cultural fit, and healthcare delivery may differ.</x:v>
      </x:c>
      <x:c r="AA80" s="27" t="str">
        <x:v>moderate</x:v>
      </x:c>
      <x:c r="AB80" s="27" t="str">
        <x:v>deterministic sentence selection</x:v>
      </x:c>
      <x:c r="AC80" s="27" t="str">
        <x:v>pending_human_review</x:v>
      </x:c>
      <x:c r="AD80" s="27" t="str">
        <x:v>reject_recommended</x:v>
      </x:c>
      <x:c r="AE80" s="27" t="str">
        <x:v>Disease activity (Harvey-Bradshaw index [HBi], partial Mayo score), fecal calprotectin, and disease-specific quality of life (IBD-Q) were assessed at baseline and at the end of dietary intervention.</x:v>
      </x:c>
      <x:c r="AF80" s="27" t="str"/>
      <x:c r="AG80" s="27" t="str">
        <x:v>This is a methods, background, sample-description, vague, or non-actionable sentence rather than a safe atomic evidence claim; or it falls outside the product's non-diagnostic, non-treatment scope.</x:v>
      </x:c>
      <x:c r="AH80" s="27" t="str">
        <x:v>verified_against_public_abstract</x:v>
      </x:c>
      <x:c r="AI80" s="27" t="str"/>
      <x:c r="AJ80" s="27" t="str">
        <x:v>Reject unless a reviewer identifies a distinct, directly supported informational use.</x:v>
      </x:c>
      <x:c r="AK80" s="30" t="str"/>
      <x:c r="AL80" s="30" t="str"/>
      <x:c r="AM80" s="30" t="str"/>
    </x:row>
    <x:row r="81" ht="96" customHeight="1">
      <x:c r="A81" s="27" t="str">
        <x:v>CLM-077</x:v>
      </x:c>
      <x:c r="B81" s="27" t="str">
        <x:v>SRC-020</x:v>
      </x:c>
      <x:c r="C81" s="27" t="str">
        <x:v>Association of ultra-processed food intake with risk of inflammatory bowel disease: prospective cohort study.</x:v>
      </x:c>
      <x:c r="D81" s="27" t="str">
        <x:v>study</x:v>
      </x:c>
      <x:c r="E81" s="27" t="str">
        <x:v>https://pubmed.ncbi.nlm.nih.gov/34261638/</x:v>
      </x:c>
      <x:c r="F81" s="27" t="str">
        <x:v>ibd_general</x:v>
      </x:c>
      <x:c r="G81" s="27" t="str">
        <x:v>general_or_unspecified</x:v>
      </x:c>
      <x:c r="H81" s="27" t="str">
        <x:v>ultra_processed</x:v>
      </x:c>
      <x:c r="I81" s="27" t="str">
        <x:v>disease_activity</x:v>
      </x:c>
      <x:c r="J81"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K81" s="27" t="str">
        <x:v>In plain terms, the source reports: After adjustment for potential confounding factors, higher intake of ultra-processed food was associated with a higher risk of incident inflammatory bowel disease (hazard ratio 1.82, 95% confidence interval 1.22 to 2.72 for ≥5 servings/day and 1.67, 1.18 to 2.37 for 1-4 servings/day compared with &lt;1 serving/day, P=0.006 for trend).</x:v>
      </x:c>
      <x:c r="L81" s="27" t="str">
        <x:v>Background explanation with source citation and explicit uncertainty; never personalized diagnosis or treatment advice.</x:v>
      </x:c>
      <x:c r="M81"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N81" s="27" t="str">
        <x:v>PubMed abstract</x:v>
      </x:c>
      <x:c r="O81" s="27" t="str"/>
      <x:c r="P81" s="27" t="str">
        <x:v>observational</x:v>
      </x:c>
      <x:c r="Q81" s="27" t="str">
        <x:v>observational study</x:v>
      </x:c>
      <x:c r="R81" s="27" t="str">
        <x:v>Adults with IBD, as specified</x:v>
      </x:c>
      <x:c r="S81" s="27" t="str">
        <x:v>467</x:v>
      </x:c>
      <x:c r="T81" s="27" t="str">
        <x:v>Europe</x:v>
      </x:c>
      <x:c r="U81" s="27" t="str">
        <x:v>Diet, nutrition, or lifestyle exposure/intervention as specified by the source</x:v>
      </x:c>
      <x:c r="V81" s="27" t="str">
        <x:v>As specified by the source; not always reported in the abstract</x:v>
      </x:c>
      <x:c r="W81" s="27" t="str">
        <x:v>disease activity or topic-specific outcome as reported</x:v>
      </x:c>
      <x:c r="X81" s="27" t="str">
        <x:v>Automated metadata and passage extraction; full methods and tables require human review. Public full text available for deeper review.</x:v>
      </x:c>
      <x:c r="Y81" s="27" t="str">
        <x:v>Study includes or directly discusses a North American context, but population-level findings are not personalized advice.</x:v>
      </x:c>
      <x:c r="Z81" s="27" t="str">
        <x:v>Moderate-to-high scientific and practical relevance for Canada/US; individual access, cost, culture, disease phenotype, and clinician support still vary.</x:v>
      </x:c>
      <x:c r="AA81" s="27" t="str">
        <x:v>moderate</x:v>
      </x:c>
      <x:c r="AB81" s="27" t="str">
        <x:v>deterministic sentence selection</x:v>
      </x:c>
      <x:c r="AC81" s="27" t="str">
        <x:v>pending_human_review</x:v>
      </x:c>
      <x:c r="AD81" s="27" t="str">
        <x:v>wording_revision_recommended</x:v>
      </x:c>
      <x:c r="AE81"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AF81" s="27"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AG81" s="27" t="str">
        <x:v>Keep the observational or incidence framing explicit; do not convert association into causal or individual disease-course advice.</x:v>
      </x:c>
      <x:c r="AH81" s="27" t="str">
        <x:v>verified_against_public_abstract</x:v>
      </x:c>
      <x:c r="AI81" s="27" t="str"/>
      <x:c r="AJ81" s="27" t="str">
        <x:v>Review the proposed wording and approve only if the source, population, disease state, and outcome limitation are acceptable.</x:v>
      </x:c>
      <x:c r="AK81" s="30" t="str"/>
      <x:c r="AL81" s="30" t="str"/>
      <x:c r="AM81" s="30" t="str"/>
    </x:row>
    <x:row r="82" ht="96" customHeight="1">
      <x:c r="A82" s="27" t="str">
        <x:v>CLM-078</x:v>
      </x:c>
      <x:c r="B82" s="27" t="str">
        <x:v>SRC-020</x:v>
      </x:c>
      <x:c r="C82" s="27" t="str">
        <x:v>Association of ultra-processed food intake with risk of inflammatory bowel disease: prospective cohort study.</x:v>
      </x:c>
      <x:c r="D82" s="27" t="str">
        <x:v>study</x:v>
      </x:c>
      <x:c r="E82" s="27" t="str">
        <x:v>https://pubmed.ncbi.nlm.nih.gov/34261638/</x:v>
      </x:c>
      <x:c r="F82" s="27" t="str">
        <x:v>ibd_general</x:v>
      </x:c>
      <x:c r="G82" s="27" t="str">
        <x:v>general_or_unspecified</x:v>
      </x:c>
      <x:c r="H82" s="27" t="str">
        <x:v>ultra_processed</x:v>
      </x:c>
      <x:c r="I82" s="27" t="str">
        <x:v>disease_activity</x:v>
      </x:c>
      <x:c r="J82" s="27" t="str">
        <x:v>Different subgroups of ultra-processed food, including soft drinks, refined sweetened foods, salty snacks, and processed meat, each were associated with higher hazard ratios for IBD.</x:v>
      </x:c>
      <x:c r="K82" s="27" t="str">
        <x:v>In plain terms, the source reports: Different subgroups of ultra-processed food, including soft drinks, refined sweetened foods, salty snacks, and processed meat, each were associated with higher hazard ratios for inflammatory bowel disease.</x:v>
      </x:c>
      <x:c r="L82" s="27" t="str">
        <x:v>Background explanation with source citation and explicit uncertainty; never personalized diagnosis or treatment advice.</x:v>
      </x:c>
      <x:c r="M82" s="27" t="str">
        <x:v>Different subgroups of ultra-processed food, including soft drinks, refined sweetened foods, salty snacks, and processed meat, each were associated with higher hazard ratios for IBD.</x:v>
      </x:c>
      <x:c r="N82" s="27" t="str">
        <x:v>PubMed abstract</x:v>
      </x:c>
      <x:c r="O82" s="27" t="str"/>
      <x:c r="P82" s="27" t="str">
        <x:v>observational</x:v>
      </x:c>
      <x:c r="Q82" s="27" t="str">
        <x:v>observational study</x:v>
      </x:c>
      <x:c r="R82" s="27" t="str">
        <x:v>Adults with IBD, as specified</x:v>
      </x:c>
      <x:c r="S82" s="27" t="str">
        <x:v>467</x:v>
      </x:c>
      <x:c r="T82" s="27" t="str">
        <x:v>Europe</x:v>
      </x:c>
      <x:c r="U82" s="27" t="str">
        <x:v>Diet, nutrition, or lifestyle exposure/intervention as specified by the source</x:v>
      </x:c>
      <x:c r="V82" s="27" t="str">
        <x:v>As specified by the source; not always reported in the abstract</x:v>
      </x:c>
      <x:c r="W82" s="27" t="str">
        <x:v>disease activity or topic-specific outcome as reported</x:v>
      </x:c>
      <x:c r="X82" s="27" t="str">
        <x:v>Automated metadata and passage extraction; full methods and tables require human review. Public full text available for deeper review.</x:v>
      </x:c>
      <x:c r="Y82" s="27" t="str">
        <x:v>Study includes or directly discusses a North American context, but population-level findings are not personalized advice.</x:v>
      </x:c>
      <x:c r="Z82" s="27" t="str">
        <x:v>Moderate-to-high scientific and practical relevance for Canada/US; individual access, cost, culture, disease phenotype, and clinician support still vary.</x:v>
      </x:c>
      <x:c r="AA82" s="27" t="str">
        <x:v>moderate</x:v>
      </x:c>
      <x:c r="AB82" s="27" t="str">
        <x:v>deterministic sentence selection</x:v>
      </x:c>
      <x:c r="AC82" s="27" t="str">
        <x:v>pending_human_review</x:v>
      </x:c>
      <x:c r="AD82" s="27" t="str">
        <x:v>wording_revision_recommended</x:v>
      </x:c>
      <x:c r="AE82" s="27" t="str">
        <x:v>Different subgroups of ultra-processed food, including soft drinks, refined sweetened foods, salty snacks, and processed meat, each were associated with higher hazard ratios for IBD.</x:v>
      </x:c>
      <x:c r="AF82" s="27"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AG82" s="27" t="str">
        <x:v>Keep the observational or incidence framing explicit; do not convert association into causal or individual disease-course advice.</x:v>
      </x:c>
      <x:c r="AH82" s="27" t="str">
        <x:v>verified_against_public_abstract</x:v>
      </x:c>
      <x:c r="AI82" s="27" t="str"/>
      <x:c r="AJ82" s="27" t="str">
        <x:v>Review the proposed wording and approve only if the source, population, disease state, and outcome limitation are acceptable.</x:v>
      </x:c>
      <x:c r="AK82" s="30" t="str"/>
      <x:c r="AL82" s="30" t="str"/>
      <x:c r="AM82" s="30" t="str"/>
    </x:row>
    <x:row r="83" ht="96" customHeight="1">
      <x:c r="A83" s="27" t="str">
        <x:v>CLM-079</x:v>
      </x:c>
      <x:c r="B83" s="27" t="str">
        <x:v>SRC-020</x:v>
      </x:c>
      <x:c r="C83" s="27" t="str">
        <x:v>Association of ultra-processed food intake with risk of inflammatory bowel disease: prospective cohort study.</x:v>
      </x:c>
      <x:c r="D83" s="27" t="str">
        <x:v>study</x:v>
      </x:c>
      <x:c r="E83" s="27" t="str">
        <x:v>https://pubmed.ncbi.nlm.nih.gov/34261638/</x:v>
      </x:c>
      <x:c r="F83" s="27" t="str">
        <x:v>ibd_general</x:v>
      </x:c>
      <x:c r="G83" s="27" t="str">
        <x:v>general_or_unspecified</x:v>
      </x:c>
      <x:c r="H83" s="27" t="str">
        <x:v>dairy_lactose</x:v>
      </x:c>
      <x:c r="I83" s="27" t="str">
        <x:v>disease_activity</x:v>
      </x:c>
      <x:c r="J83" s="27" t="str">
        <x:v>Intakes of white meat, red meat, dairy, starch, and fruit, vegetables, and legumes were not associated with incident IBD.</x:v>
      </x:c>
      <x:c r="K83" s="27" t="str">
        <x:v>In plain terms, the source reports: Intakes of white meat, red meat, dairy, starch, and fruit, vegetables, and legumes were not associated with incident inflammatory bowel disease.</x:v>
      </x:c>
      <x:c r="L83" s="27" t="str">
        <x:v>Background explanation with source citation and explicit uncertainty; never personalized diagnosis or treatment advice.</x:v>
      </x:c>
      <x:c r="M83" s="27" t="str">
        <x:v>Intakes of white meat, red meat, dairy, starch, and fruit, vegetables, and legumes were not associated with incident IBD.</x:v>
      </x:c>
      <x:c r="N83" s="27" t="str">
        <x:v>PubMed abstract</x:v>
      </x:c>
      <x:c r="O83" s="27" t="str"/>
      <x:c r="P83" s="27" t="str">
        <x:v>observational</x:v>
      </x:c>
      <x:c r="Q83" s="27" t="str">
        <x:v>observational study</x:v>
      </x:c>
      <x:c r="R83" s="27" t="str">
        <x:v>Adults with IBD, as specified</x:v>
      </x:c>
      <x:c r="S83" s="27" t="str">
        <x:v>467</x:v>
      </x:c>
      <x:c r="T83" s="27" t="str">
        <x:v>Europe</x:v>
      </x:c>
      <x:c r="U83" s="27" t="str">
        <x:v>Diet, nutrition, or lifestyle exposure/intervention as specified by the source</x:v>
      </x:c>
      <x:c r="V83" s="27" t="str">
        <x:v>As specified by the source; not always reported in the abstract</x:v>
      </x:c>
      <x:c r="W83" s="27" t="str">
        <x:v>disease activity or topic-specific outcome as reported</x:v>
      </x:c>
      <x:c r="X83" s="27" t="str">
        <x:v>Automated metadata and passage extraction; full methods and tables require human review. Public full text available for deeper review.</x:v>
      </x:c>
      <x:c r="Y83" s="27" t="str">
        <x:v>Study includes or directly discusses a North American context, but population-level findings are not personalized advice.</x:v>
      </x:c>
      <x:c r="Z83" s="27" t="str">
        <x:v>Moderate-to-high scientific and practical relevance for Canada/US; individual access, cost, culture, disease phenotype, and clinician support still vary.</x:v>
      </x:c>
      <x:c r="AA83" s="27" t="str">
        <x:v>moderate</x:v>
      </x:c>
      <x:c r="AB83" s="27" t="str">
        <x:v>deterministic sentence selection</x:v>
      </x:c>
      <x:c r="AC83" s="27" t="str">
        <x:v>pending_human_review</x:v>
      </x:c>
      <x:c r="AD83" s="27" t="str">
        <x:v>wording_revision_recommended</x:v>
      </x:c>
      <x:c r="AE83" s="27" t="str">
        <x:v>Intakes of white meat, red meat, dairy, starch, and fruit, vegetables, and legumes were not associated with incident IBD.</x:v>
      </x:c>
      <x:c r="AF83" s="27"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AG83" s="27" t="str">
        <x:v>Keep the observational or incidence framing explicit; do not convert association into causal or individual disease-course advice.</x:v>
      </x:c>
      <x:c r="AH83" s="27" t="str">
        <x:v>verified_against_public_abstract</x:v>
      </x:c>
      <x:c r="AI83" s="27" t="str"/>
      <x:c r="AJ83" s="27" t="str">
        <x:v>Review the proposed wording and approve only if the source, population, disease state, and outcome limitation are acceptable.</x:v>
      </x:c>
      <x:c r="AK83" s="30" t="str"/>
      <x:c r="AL83" s="30" t="str"/>
      <x:c r="AM83" s="30" t="str"/>
    </x:row>
    <x:row r="84" ht="96" customHeight="1">
      <x:c r="A84" s="27" t="str">
        <x:v>CLM-080</x:v>
      </x:c>
      <x:c r="B84" s="27" t="str">
        <x:v>SRC-020</x:v>
      </x:c>
      <x:c r="C84" s="27" t="str">
        <x:v>Association of ultra-processed food intake with risk of inflammatory bowel disease: prospective cohort study.</x:v>
      </x:c>
      <x:c r="D84" s="27" t="str">
        <x:v>study</x:v>
      </x:c>
      <x:c r="E84" s="27" t="str">
        <x:v>https://pubmed.ncbi.nlm.nih.gov/34261638/</x:v>
      </x:c>
      <x:c r="F84" s="27" t="str">
        <x:v>ibd_general</x:v>
      </x:c>
      <x:c r="G84" s="27" t="str">
        <x:v>general_or_unspecified</x:v>
      </x:c>
      <x:c r="H84" s="27" t="str">
        <x:v>ultra_processed</x:v>
      </x:c>
      <x:c r="I84" s="27" t="str">
        <x:v>disease_activity</x:v>
      </x:c>
      <x:c r="J84" s="27" t="str">
        <x:v>CONCLUSIONS: Higher intake of ultra-processed food was positively associated with risk of IBD.</x:v>
      </x:c>
      <x:c r="K84" s="27" t="str">
        <x:v>In plain terms, the source reports: CONCLUSIONS: Higher intake of ultra-processed food was positively associated with risk of inflammatory bowel disease.</x:v>
      </x:c>
      <x:c r="L84" s="27" t="str">
        <x:v>Background explanation with source citation and explicit uncertainty; never personalized diagnosis or treatment advice.</x:v>
      </x:c>
      <x:c r="M84" s="27" t="str">
        <x:v>CONCLUSIONS: Higher intake of ultra-processed food was positively associated with risk of IBD.</x:v>
      </x:c>
      <x:c r="N84" s="27" t="str">
        <x:v>PubMed abstract</x:v>
      </x:c>
      <x:c r="O84" s="27" t="str"/>
      <x:c r="P84" s="27" t="str">
        <x:v>observational</x:v>
      </x:c>
      <x:c r="Q84" s="27" t="str">
        <x:v>observational study</x:v>
      </x:c>
      <x:c r="R84" s="27" t="str">
        <x:v>Adults with IBD, as specified</x:v>
      </x:c>
      <x:c r="S84" s="27" t="str">
        <x:v>467</x:v>
      </x:c>
      <x:c r="T84" s="27" t="str">
        <x:v>Europe</x:v>
      </x:c>
      <x:c r="U84" s="27" t="str">
        <x:v>Diet, nutrition, or lifestyle exposure/intervention as specified by the source</x:v>
      </x:c>
      <x:c r="V84" s="27" t="str">
        <x:v>As specified by the source; not always reported in the abstract</x:v>
      </x:c>
      <x:c r="W84" s="27" t="str">
        <x:v>disease activity or topic-specific outcome as reported</x:v>
      </x:c>
      <x:c r="X84" s="27" t="str">
        <x:v>Automated metadata and passage extraction; full methods and tables require human review. Public full text available for deeper review.</x:v>
      </x:c>
      <x:c r="Y84" s="27" t="str">
        <x:v>Study includes or directly discusses a North American context, but population-level findings are not personalized advice.</x:v>
      </x:c>
      <x:c r="Z84" s="27" t="str">
        <x:v>Moderate-to-high scientific and practical relevance for Canada/US; individual access, cost, culture, disease phenotype, and clinician support still vary.</x:v>
      </x:c>
      <x:c r="AA84" s="27" t="str">
        <x:v>moderate</x:v>
      </x:c>
      <x:c r="AB84" s="27" t="str">
        <x:v>deterministic sentence selection</x:v>
      </x:c>
      <x:c r="AC84" s="27" t="str">
        <x:v>pending_human_review</x:v>
      </x:c>
      <x:c r="AD84" s="27" t="str">
        <x:v>wording_revision_recommended</x:v>
      </x:c>
      <x:c r="AE84" s="27" t="str">
        <x:v>CONCLUSIONS: Higher intake of ultra-processed food was positively associated with risk of IBD.</x:v>
      </x:c>
      <x:c r="AF84" s="27" t="str">
        <x:v>The cited source reports that higher intake of ultra-processed food was positively associated with risk of IBD. This is population-level association evidence and does not establish causation or predict an individual's disease course.</x:v>
      </x:c>
      <x:c r="AG84" s="27" t="str">
        <x:v>Keep the observational or incidence framing explicit; do not convert association into causal or individual disease-course advice.</x:v>
      </x:c>
      <x:c r="AH84" s="27" t="str">
        <x:v>verified_against_public_abstract</x:v>
      </x:c>
      <x:c r="AI84" s="27" t="str"/>
      <x:c r="AJ84" s="27" t="str">
        <x:v>Review the proposed wording and approve only if the source, population, disease state, and outcome limitation are acceptable.</x:v>
      </x:c>
      <x:c r="AK84" s="30" t="str"/>
      <x:c r="AL84" s="30" t="str"/>
      <x:c r="AM84" s="30" t="str"/>
    </x:row>
    <x:row r="85" ht="96" customHeight="1">
      <x:c r="A85" s="27" t="str">
        <x:v>CLM-081</x:v>
      </x:c>
      <x:c r="B85" s="27" t="str">
        <x:v>SRC-021</x:v>
      </x:c>
      <x:c r="C85" s="27" t="str">
        <x:v>European Crohn’s and Colitis Organisation consensus on dietary management of inflammatory bowel disease</x:v>
      </x:c>
      <x:c r="D85" s="27" t="str">
        <x:v>guideline</x:v>
      </x:c>
      <x:c r="E85" s="27" t="str">
        <x:v>https://academic.oup.com/ecco-jcc/article/19/9/jjaf122/8198055</x:v>
      </x:c>
      <x:c r="F85" s="27" t="str">
        <x:v>ulcerative_colitis; crohns_disease; ibd_general</x:v>
      </x:c>
      <x:c r="G85" s="27" t="str">
        <x:v>general_or_unspecified</x:v>
      </x:c>
      <x:c r="H85" s="27" t="str">
        <x:v>core_condition_knowledge</x:v>
      </x:c>
      <x:c r="I85" s="27" t="str">
        <x:v>general_patient_education</x:v>
      </x:c>
      <x:c r="J85" s="27" t="str">
        <x:v>In the absence of a specific dietary intervention that is recommended by an IBD healthcare professional, healthy eating guidelines should be followed by people with IBD, as recommended for the general population.</x:v>
      </x:c>
      <x:c r="K85" s="27" t="str">
        <x:v>This official patient-information source explains: In the absence of a specific dietary intervention that is recommended by an IBD healthcare professional, healthy eating guidelines should be followed by people with IBD, as recommended for the general population.</x:v>
      </x:c>
      <x:c r="L85" s="27" t="str">
        <x:v>Patient-friendly background with explicit attribution and advice to consult an IBD care team.</x:v>
      </x:c>
      <x:c r="M85" s="27" t="str">
        <x:v>In the absence of a specific dietary intervention that is recommended by an IBD healthcare professional, healthy eating guidelines should be followed by people with IBD, as recommended for the general population.</x:v>
      </x:c>
      <x:c r="N85" s="27" t="str">
        <x:v>Public webpage</x:v>
      </x:c>
      <x:c r="O85" s="27" t="str"/>
      <x:c r="P85" s="27" t="str">
        <x:v>consensus_statement</x:v>
      </x:c>
      <x:c r="Q85" s="27" t="str">
        <x:v>consensus statement</x:v>
      </x:c>
      <x:c r="R85" s="27" t="str">
        <x:v>Adults with IBD and caregivers</x:v>
      </x:c>
      <x:c r="S85" s="27" t="str">
        <x:v>Not applicable</x:v>
      </x:c>
      <x:c r="T85" s="27" t="str">
        <x:v>Europe / international consensus</x:v>
      </x:c>
      <x:c r="U85" s="27" t="str">
        <x:v>General diet and nutrition education</x:v>
      </x:c>
      <x:c r="V85" s="27" t="str">
        <x:v>Not applicable</x:v>
      </x:c>
      <x:c r="W85" s="27" t="str">
        <x:v>general patient education</x:v>
      </x:c>
      <x:c r="X85" s="27" t="str">
        <x:v>Patient information is explanatory, not a substitute for clinical evidence or individualized care.</x:v>
      </x:c>
      <x:c r="Y85" s="27" t="str">
        <x:v>Europe / international consensus source; Canadian and US food environments, labelling, dietetic access, and care pathways may differ.</x:v>
      </x:c>
      <x:c r="Z85" s="27" t="str">
        <x:v>Scientifically relevant to Canada/US when disease context is comparable; food availability, cultural fit, terminology, and healthcare delivery require North American adaptation.</x:v>
      </x:c>
      <x:c r="AA85" s="27" t="str">
        <x:v>high</x:v>
      </x:c>
      <x:c r="AB85" s="27" t="str">
        <x:v>deterministic sentence selection</x:v>
      </x:c>
      <x:c r="AC85" s="27" t="str">
        <x:v>pending_human_review</x:v>
      </x:c>
      <x:c r="AD85" s="27" t="str">
        <x:v>wording_revision_recommended</x:v>
      </x:c>
      <x:c r="AE85" s="27" t="str">
        <x:v>In the absence of a specific dietary intervention that is recommended by an IBD healthcare professional, healthy eating guidelines should be followed by people with IBD, as recommended for the general population.</x:v>
      </x:c>
      <x:c r="AF85" s="27"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AG85" s="27" t="str">
        <x:v>Attribute the statement to the source and retain disease-state, population, evidence-strength, and clinician/dietitian context so it is not personalized treatment advice.</x:v>
      </x:c>
      <x:c r="AH85" s="27" t="str">
        <x:v>verified_against_authoritative_public_page</x:v>
      </x:c>
      <x:c r="AI85" s="27" t="str"/>
      <x:c r="AJ85" s="27" t="str">
        <x:v>Review the proposed wording and approve only if the source, population, disease state, and outcome limitation are acceptable.</x:v>
      </x:c>
      <x:c r="AK85" s="30" t="str"/>
      <x:c r="AL85" s="30" t="str"/>
      <x:c r="AM85" s="30" t="str"/>
    </x:row>
    <x:row r="86" ht="96" customHeight="1">
      <x:c r="A86" s="27" t="str">
        <x:v>CLM-082</x:v>
      </x:c>
      <x:c r="B86" s="27" t="str">
        <x:v>SRC-021</x:v>
      </x:c>
      <x:c r="C86" s="27" t="str">
        <x:v>European Crohn’s and Colitis Organisation consensus on dietary management of inflammatory bowel disease</x:v>
      </x:c>
      <x:c r="D86" s="27" t="str">
        <x:v>guideline</x:v>
      </x:c>
      <x:c r="E86" s="27" t="str">
        <x:v>https://academic.oup.com/ecco-jcc/article/19/9/jjaf122/8198055</x:v>
      </x:c>
      <x:c r="F86" s="27" t="str">
        <x:v>ulcerative_colitis; crohns_disease; ibd_general</x:v>
      </x:c>
      <x:c r="G86" s="27" t="str">
        <x:v>general_or_unspecified</x:v>
      </x:c>
      <x:c r="H86" s="27" t="str">
        <x:v>core_condition_knowledge</x:v>
      </x:c>
      <x:c r="I86" s="27" t="str">
        <x:v>general_patient_education</x:v>
      </x:c>
      <x:c r="J86" s="27" t="str">
        <x:v>Most evidence for dietary interventions was of low quality, with few studies measuring endoscopic, radiological, or biochemical endpoints or durability of response.</x:v>
      </x:c>
      <x:c r="K86" s="27" t="str">
        <x:v>This official patient-information source explains: Most evidence for dietary interventions was of low quality, with few studies measuring endoscopic, radiological, or biochemical endpoints or durability of response.</x:v>
      </x:c>
      <x:c r="L86" s="27" t="str">
        <x:v>Patient-friendly background with explicit attribution and advice to consult an IBD care team.</x:v>
      </x:c>
      <x:c r="M86" s="27" t="str">
        <x:v>Most evidence for dietary interventions was of low quality, with few studies measuring endoscopic, radiological, or biochemical endpoints or durability of response.</x:v>
      </x:c>
      <x:c r="N86" s="27" t="str">
        <x:v>Public webpage</x:v>
      </x:c>
      <x:c r="O86" s="27" t="str"/>
      <x:c r="P86" s="27" t="str">
        <x:v>consensus_statement</x:v>
      </x:c>
      <x:c r="Q86" s="27" t="str">
        <x:v>consensus statement</x:v>
      </x:c>
      <x:c r="R86" s="27" t="str">
        <x:v>Adults with IBD and caregivers</x:v>
      </x:c>
      <x:c r="S86" s="27" t="str">
        <x:v>Not applicable</x:v>
      </x:c>
      <x:c r="T86" s="27" t="str">
        <x:v>Europe / international consensus</x:v>
      </x:c>
      <x:c r="U86" s="27" t="str">
        <x:v>General diet and nutrition education</x:v>
      </x:c>
      <x:c r="V86" s="27" t="str">
        <x:v>Not applicable</x:v>
      </x:c>
      <x:c r="W86" s="27" t="str">
        <x:v>general patient education</x:v>
      </x:c>
      <x:c r="X86" s="27" t="str">
        <x:v>Patient information is explanatory, not a substitute for clinical evidence or individualized care.</x:v>
      </x:c>
      <x:c r="Y86" s="27" t="str">
        <x:v>Europe / international consensus source; Canadian and US food environments, labelling, dietetic access, and care pathways may differ.</x:v>
      </x:c>
      <x:c r="Z86" s="27" t="str">
        <x:v>Scientifically relevant to Canada/US when disease context is comparable; food availability, cultural fit, terminology, and healthcare delivery require North American adaptation.</x:v>
      </x:c>
      <x:c r="AA86" s="27" t="str">
        <x:v>high</x:v>
      </x:c>
      <x:c r="AB86" s="27" t="str">
        <x:v>deterministic sentence selection</x:v>
      </x:c>
      <x:c r="AC86" s="27" t="str">
        <x:v>pending_human_review</x:v>
      </x:c>
      <x:c r="AD86" s="27" t="str">
        <x:v>wording_revision_recommended</x:v>
      </x:c>
      <x:c r="AE86" s="27" t="str">
        <x:v>Most evidence for dietary interventions was of low quality, with few studies measuring endoscopic, radiological, or biochemical endpoints or durability of response.</x:v>
      </x:c>
      <x:c r="AF86" s="27"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AG86" s="27" t="str">
        <x:v>Narrow the wording to the exact passage and retain the source's limitations and uncertainty.</x:v>
      </x:c>
      <x:c r="AH86" s="27" t="str">
        <x:v>verified_against_authoritative_public_page</x:v>
      </x:c>
      <x:c r="AI86" s="27" t="str"/>
      <x:c r="AJ86" s="27" t="str">
        <x:v>Review the proposed wording and approve only if the source, population, disease state, and outcome limitation are acceptable.</x:v>
      </x:c>
      <x:c r="AK86" s="30" t="str"/>
      <x:c r="AL86" s="30" t="str"/>
      <x:c r="AM86" s="30" t="str"/>
    </x:row>
    <x:row r="87" ht="96" customHeight="1">
      <x:c r="A87" s="27" t="str">
        <x:v>CLM-083</x:v>
      </x:c>
      <x:c r="B87" s="27" t="str">
        <x:v>SRC-021</x:v>
      </x:c>
      <x:c r="C87" s="27" t="str">
        <x:v>European Crohn’s and Colitis Organisation consensus on dietary management of inflammatory bowel disease</x:v>
      </x:c>
      <x:c r="D87" s="27" t="str">
        <x:v>guideline</x:v>
      </x:c>
      <x:c r="E87" s="27" t="str">
        <x:v>https://academic.oup.com/ecco-jcc/article/19/9/jjaf122/8198055</x:v>
      </x:c>
      <x:c r="F87" s="27" t="str">
        <x:v>ulcerative_colitis; crohns_disease; ibd_general</x:v>
      </x:c>
      <x:c r="G87" s="27" t="str">
        <x:v>stricture_or_obstruction_risk</x:v>
      </x:c>
      <x:c r="H87" s="27" t="str">
        <x:v>fibre</x:v>
      </x:c>
      <x:c r="I87" s="27" t="str">
        <x:v>general_patient_education</x:v>
      </x:c>
      <x:c r="J87" s="27" t="str">
        <x:v>A modified or low-fiber diet may reduce obstruction risk in people with stricturing Crohn's disease.</x:v>
      </x:c>
      <x:c r="K87" s="27" t="str">
        <x:v>This official patient-information source explains: A modified or low-fiber diet may reduce obstruction risk in people with stricturing Crohn's disease.</x:v>
      </x:c>
      <x:c r="L87" s="27" t="str">
        <x:v>Patient-friendly background with explicit attribution and advice to consult an IBD care team.</x:v>
      </x:c>
      <x:c r="M87" s="27" t="str">
        <x:v>A modified or low-fiber diet may reduce obstruction risk in people with stricturing Crohn's disease.</x:v>
      </x:c>
      <x:c r="N87" s="27" t="str">
        <x:v>Public webpage</x:v>
      </x:c>
      <x:c r="O87" s="27" t="str"/>
      <x:c r="P87" s="27" t="str">
        <x:v>consensus_statement</x:v>
      </x:c>
      <x:c r="Q87" s="27" t="str">
        <x:v>consensus statement</x:v>
      </x:c>
      <x:c r="R87" s="27" t="str">
        <x:v>Adults with IBD and caregivers</x:v>
      </x:c>
      <x:c r="S87" s="27" t="str">
        <x:v>Not applicable</x:v>
      </x:c>
      <x:c r="T87" s="27" t="str">
        <x:v>Europe / international consensus</x:v>
      </x:c>
      <x:c r="U87" s="27" t="str">
        <x:v>General diet and nutrition education</x:v>
      </x:c>
      <x:c r="V87" s="27" t="str">
        <x:v>Not applicable</x:v>
      </x:c>
      <x:c r="W87" s="27" t="str">
        <x:v>general patient education</x:v>
      </x:c>
      <x:c r="X87" s="27" t="str">
        <x:v>Patient information is explanatory, not a substitute for clinical evidence or individualized care.</x:v>
      </x:c>
      <x:c r="Y87" s="27" t="str">
        <x:v>Europe / international consensus source; Canadian and US food environments, labelling, dietetic access, and care pathways may differ.</x:v>
      </x:c>
      <x:c r="Z87" s="27" t="str">
        <x:v>Scientifically relevant to Canada/US when disease context is comparable; food availability, cultural fit, terminology, and healthcare delivery require North American adaptation.</x:v>
      </x:c>
      <x:c r="AA87" s="27" t="str">
        <x:v>high</x:v>
      </x:c>
      <x:c r="AB87" s="27" t="str">
        <x:v>deterministic sentence selection</x:v>
      </x:c>
      <x:c r="AC87" s="27" t="str">
        <x:v>pending_human_review</x:v>
      </x:c>
      <x:c r="AD87" s="27" t="str">
        <x:v>wording_revision_recommended</x:v>
      </x:c>
      <x:c r="AE87" s="27" t="str">
        <x:v>A modified or low-fiber diet may reduce obstruction risk in people with stricturing Crohn's disease.</x:v>
      </x:c>
      <x:c r="AF87" s="27" t="str">
        <x:v>The cited source reports that a modified or low-fiber diet may reduce obstruction risk in people with stricturing Crohn's disease. This is population-level association evidence and does not establish causation or predict an individual's disease course.</x:v>
      </x:c>
      <x:c r="AG87" s="27" t="str">
        <x:v>Keep the observational or incidence framing explicit; do not convert association into causal or individual disease-course advice.</x:v>
      </x:c>
      <x:c r="AH87" s="27" t="str">
        <x:v>verified_against_authoritative_public_page</x:v>
      </x:c>
      <x:c r="AI87" s="27" t="str"/>
      <x:c r="AJ87" s="27" t="str">
        <x:v>Review the proposed wording and approve only if the source, population, disease state, and outcome limitation are acceptable.</x:v>
      </x:c>
      <x:c r="AK87" s="30" t="str"/>
      <x:c r="AL87" s="30" t="str"/>
      <x:c r="AM87" s="30" t="str"/>
    </x:row>
    <x:row r="88" ht="96" customHeight="1">
      <x:c r="A88" s="27" t="str">
        <x:v>CLM-084</x:v>
      </x:c>
      <x:c r="B88" s="27" t="str">
        <x:v>SRC-022</x:v>
      </x:c>
      <x:c r="C88" s="27" t="str">
        <x:v>ECCO Guidelines on Therapeutics in Crohn’s Disease: Medical Treatment</x:v>
      </x:c>
      <x:c r="D88" s="27" t="str">
        <x:v>guideline</x:v>
      </x:c>
      <x:c r="E88" s="27" t="str">
        <x:v>https://academic.oup.com/ecco-jcc/article/18/10/1531/7693895</x:v>
      </x:c>
      <x:c r="F88" s="27" t="str">
        <x:v>crohns_disease</x:v>
      </x:c>
      <x:c r="G88" s="27" t="str">
        <x:v>general_or_unspecified</x:v>
      </x:c>
      <x:c r="H88" s="27" t="str">
        <x:v>core_condition_knowledge</x:v>
      </x:c>
      <x:c r="I88" s="27" t="str">
        <x:v>general_patient_education</x:v>
      </x:c>
      <x:c r="J88" s="27" t="str">
        <x:v>There is emerging evidence that dietary therapies may be beneficial in reducing the inflammatory burden in Crohn's disease.</x:v>
      </x:c>
      <x:c r="K88" s="27" t="str">
        <x:v>This official patient-information source explains: There is emerging evidence that dietary therapies may be beneficial in reducing the inflammatory burden in Crohn's disease.</x:v>
      </x:c>
      <x:c r="L88" s="27" t="str">
        <x:v>Patient-friendly background with explicit attribution and advice to consult an IBD care team.</x:v>
      </x:c>
      <x:c r="M88" s="27" t="str">
        <x:v>There is emerging evidence that dietary therapies may be beneficial in reducing the inflammatory burden in Crohn's disease.</x:v>
      </x:c>
      <x:c r="N88" s="27" t="str">
        <x:v>Public webpage</x:v>
      </x:c>
      <x:c r="O88" s="27" t="str"/>
      <x:c r="P88" s="27" t="str">
        <x:v>formal_guideline</x:v>
      </x:c>
      <x:c r="Q88" s="27" t="str">
        <x:v>clinical guideline</x:v>
      </x:c>
      <x:c r="R88" s="27" t="str">
        <x:v>Adults with IBD and caregivers</x:v>
      </x:c>
      <x:c r="S88" s="27" t="str">
        <x:v>Not applicable</x:v>
      </x:c>
      <x:c r="T88" s="27" t="str">
        <x:v>Europe / international consensus</x:v>
      </x:c>
      <x:c r="U88" s="27" t="str">
        <x:v>General diet and nutrition education</x:v>
      </x:c>
      <x:c r="V88" s="27" t="str">
        <x:v>Not applicable</x:v>
      </x:c>
      <x:c r="W88" s="27" t="str">
        <x:v>general patient education</x:v>
      </x:c>
      <x:c r="X88" s="27" t="str">
        <x:v>Patient information is explanatory, not a substitute for clinical evidence or individualized care.</x:v>
      </x:c>
      <x:c r="Y88" s="27" t="str">
        <x:v>Europe / international consensus source; Canadian and US food environments, labelling, dietetic access, and care pathways may differ.</x:v>
      </x:c>
      <x:c r="Z88" s="27" t="str">
        <x:v>Scientifically relevant to Canada/US when disease context is comparable; food availability, cultural fit, terminology, and healthcare delivery require North American adaptation.</x:v>
      </x:c>
      <x:c r="AA88" s="27" t="str">
        <x:v>high</x:v>
      </x:c>
      <x:c r="AB88" s="27" t="str">
        <x:v>deterministic sentence selection</x:v>
      </x:c>
      <x:c r="AC88" s="27" t="str">
        <x:v>pending_human_review</x:v>
      </x:c>
      <x:c r="AD88" s="27" t="str">
        <x:v>wording_revision_recommended</x:v>
      </x:c>
      <x:c r="AE88" s="27" t="str">
        <x:v>There is emerging evidence that dietary therapies may be beneficial in reducing the inflammatory burden in Crohn's disease.</x:v>
      </x:c>
      <x:c r="AF88" s="27" t="str">
        <x:v>The cited source reports that there is emerging evidence that dietary therapies may be beneficial in reducing the inflammatory burden in Crohn's disease.</x:v>
      </x:c>
      <x:c r="AG88" s="27" t="str">
        <x:v>Narrow the wording to the exact passage and retain the source's limitations and uncertainty.</x:v>
      </x:c>
      <x:c r="AH88" s="27" t="str">
        <x:v>verified_against_authoritative_public_page</x:v>
      </x:c>
      <x:c r="AI88" s="27" t="str"/>
      <x:c r="AJ88" s="27" t="str">
        <x:v>Review the proposed wording and approve only if the source, population, disease state, and outcome limitation are acceptable.</x:v>
      </x:c>
      <x:c r="AK88" s="30" t="str"/>
      <x:c r="AL88" s="30" t="str"/>
      <x:c r="AM88" s="30" t="str"/>
    </x:row>
    <x:row r="89" ht="96" customHeight="1">
      <x:c r="A89" s="27" t="str">
        <x:v>CLM-085</x:v>
      </x:c>
      <x:c r="B89" s="27" t="str">
        <x:v>SRC-022</x:v>
      </x:c>
      <x:c r="C89" s="27" t="str">
        <x:v>ECCO Guidelines on Therapeutics in Crohn’s Disease: Medical Treatment</x:v>
      </x:c>
      <x:c r="D89" s="27" t="str">
        <x:v>guideline</x:v>
      </x:c>
      <x:c r="E89" s="27" t="str">
        <x:v>https://academic.oup.com/ecco-jcc/article/18/10/1531/7693895</x:v>
      </x:c>
      <x:c r="F89" s="27" t="str">
        <x:v>crohns_disease</x:v>
      </x:c>
      <x:c r="G89" s="27" t="str">
        <x:v>general_or_unspecified</x:v>
      </x:c>
      <x:c r="H89" s="27" t="str">
        <x:v>core_condition_knowledge</x:v>
      </x:c>
      <x:c r="I89" s="27" t="str">
        <x:v>general_patient_education</x:v>
      </x:c>
      <x:c r="J89" s="27" t="str">
        <x:v>Dietary intervention should be considered based on disease activity, patient motivation, current evidence, and availability of dietetic support.</x:v>
      </x:c>
      <x:c r="K89" s="27" t="str">
        <x:v>This official patient-information source explains: Dietary intervention should be considered based on disease activity, patient motivation, current evidence, and availability of dietetic support.</x:v>
      </x:c>
      <x:c r="L89" s="27" t="str">
        <x:v>Patient-friendly background with explicit attribution and advice to consult an IBD care team.</x:v>
      </x:c>
      <x:c r="M89" s="27" t="str">
        <x:v>Dietary intervention should be considered based on disease activity, patient motivation, current evidence, and availability of dietetic support.</x:v>
      </x:c>
      <x:c r="N89" s="27" t="str">
        <x:v>Public webpage</x:v>
      </x:c>
      <x:c r="O89" s="27" t="str"/>
      <x:c r="P89" s="27" t="str">
        <x:v>formal_guideline</x:v>
      </x:c>
      <x:c r="Q89" s="27" t="str">
        <x:v>clinical guideline</x:v>
      </x:c>
      <x:c r="R89" s="27" t="str">
        <x:v>Adults with IBD and caregivers</x:v>
      </x:c>
      <x:c r="S89" s="27" t="str">
        <x:v>Not applicable</x:v>
      </x:c>
      <x:c r="T89" s="27" t="str">
        <x:v>Europe / international consensus</x:v>
      </x:c>
      <x:c r="U89" s="27" t="str">
        <x:v>General diet and nutrition education</x:v>
      </x:c>
      <x:c r="V89" s="27" t="str">
        <x:v>Not applicable</x:v>
      </x:c>
      <x:c r="W89" s="27" t="str">
        <x:v>general patient education</x:v>
      </x:c>
      <x:c r="X89" s="27" t="str">
        <x:v>Patient information is explanatory, not a substitute for clinical evidence or individualized care.</x:v>
      </x:c>
      <x:c r="Y89" s="27" t="str">
        <x:v>Europe / international consensus source; Canadian and US food environments, labelling, dietetic access, and care pathways may differ.</x:v>
      </x:c>
      <x:c r="Z89" s="27" t="str">
        <x:v>Scientifically relevant to Canada/US when disease context is comparable; food availability, cultural fit, terminology, and healthcare delivery require North American adaptation.</x:v>
      </x:c>
      <x:c r="AA89" s="27" t="str">
        <x:v>high</x:v>
      </x:c>
      <x:c r="AB89" s="27" t="str">
        <x:v>deterministic sentence selection</x:v>
      </x:c>
      <x:c r="AC89" s="27" t="str">
        <x:v>pending_human_review</x:v>
      </x:c>
      <x:c r="AD89" s="27" t="str">
        <x:v>wording_revision_recommended</x:v>
      </x:c>
      <x:c r="AE89" s="27" t="str">
        <x:v>Dietary intervention should be considered based on disease activity, patient motivation, current evidence, and availability of dietetic support.</x:v>
      </x:c>
      <x:c r="AF89" s="27" t="str">
        <x:v>The cited source reports that dietary intervention should be considered based on disease activity, patient motivation, current evidence, and availability of dietetic support. This is source-attributed information, not a treatment recommendation for an individual.</x:v>
      </x:c>
      <x:c r="AG89" s="27" t="str">
        <x:v>Attribute the statement to the source and retain disease-state, population, evidence-strength, and clinician/dietitian context so it is not personalized treatment advice.</x:v>
      </x:c>
      <x:c r="AH89" s="27" t="str">
        <x:v>verified_against_authoritative_public_page</x:v>
      </x:c>
      <x:c r="AI89" s="27" t="str"/>
      <x:c r="AJ89" s="27" t="str">
        <x:v>Review the proposed wording and approve only if the source, population, disease state, and outcome limitation are acceptable.</x:v>
      </x:c>
      <x:c r="AK89" s="30" t="str"/>
      <x:c r="AL89" s="30" t="str"/>
      <x:c r="AM89" s="30" t="str"/>
    </x:row>
    <x:row r="90" ht="96" customHeight="1">
      <x:c r="A90" s="27" t="str">
        <x:v>CLM-086</x:v>
      </x:c>
      <x:c r="B90" s="27" t="str">
        <x:v>SRC-022</x:v>
      </x:c>
      <x:c r="C90" s="27" t="str">
        <x:v>ECCO Guidelines on Therapeutics in Crohn’s Disease: Medical Treatment</x:v>
      </x:c>
      <x:c r="D90" s="27" t="str">
        <x:v>guideline</x:v>
      </x:c>
      <x:c r="E90" s="27" t="str">
        <x:v>https://academic.oup.com/ecco-jcc/article/18/10/1531/7693895</x:v>
      </x:c>
      <x:c r="F90" s="27" t="str">
        <x:v>crohns_disease</x:v>
      </x:c>
      <x:c r="G90" s="27" t="str">
        <x:v>remission</x:v>
      </x:c>
      <x:c r="H90" s="27" t="str">
        <x:v>enteral_nutrition</x:v>
      </x:c>
      <x:c r="I90" s="27" t="str">
        <x:v>general_patient_education</x:v>
      </x:c>
      <x:c r="J90" s="27" t="str">
        <x:v>Partial enteral nutrition might be considered for maintaining remission in a subset of patients who can tolerate formula with routine monitoring.</x:v>
      </x:c>
      <x:c r="K90" s="27" t="str">
        <x:v>This official patient-information source explains: Partial enteral nutrition might be considered for maintaining remission in a subset of patients who can tolerate formula with routine monitoring.</x:v>
      </x:c>
      <x:c r="L90" s="27" t="str">
        <x:v>Patient-friendly background with explicit attribution and advice to consult an IBD care team.</x:v>
      </x:c>
      <x:c r="M90" s="27" t="str">
        <x:v>Partial enteral nutrition might be considered for maintaining remission in a subset of patients who can tolerate formula with routine monitoring.</x:v>
      </x:c>
      <x:c r="N90" s="27" t="str">
        <x:v>Public webpage</x:v>
      </x:c>
      <x:c r="O90" s="27" t="str"/>
      <x:c r="P90" s="27" t="str">
        <x:v>formal_guideline</x:v>
      </x:c>
      <x:c r="Q90" s="27" t="str">
        <x:v>clinical guideline</x:v>
      </x:c>
      <x:c r="R90" s="27" t="str">
        <x:v>Adults with IBD and caregivers</x:v>
      </x:c>
      <x:c r="S90" s="27" t="str">
        <x:v>Not applicable</x:v>
      </x:c>
      <x:c r="T90" s="27" t="str">
        <x:v>Europe / international consensus</x:v>
      </x:c>
      <x:c r="U90" s="27" t="str">
        <x:v>General diet and nutrition education</x:v>
      </x:c>
      <x:c r="V90" s="27" t="str">
        <x:v>Not applicable</x:v>
      </x:c>
      <x:c r="W90" s="27" t="str">
        <x:v>general patient education</x:v>
      </x:c>
      <x:c r="X90" s="27" t="str">
        <x:v>Patient information is explanatory, not a substitute for clinical evidence or individualized care.</x:v>
      </x:c>
      <x:c r="Y90" s="27" t="str">
        <x:v>Europe / international consensus source; Canadian and US food environments, labelling, dietetic access, and care pathways may differ.</x:v>
      </x:c>
      <x:c r="Z90" s="27" t="str">
        <x:v>Scientifically relevant to Canada/US when disease context is comparable; food availability, cultural fit, terminology, and healthcare delivery require North American adaptation.</x:v>
      </x:c>
      <x:c r="AA90" s="27" t="str">
        <x:v>high</x:v>
      </x:c>
      <x:c r="AB90" s="27" t="str">
        <x:v>deterministic sentence selection</x:v>
      </x:c>
      <x:c r="AC90" s="27" t="str">
        <x:v>pending_human_review</x:v>
      </x:c>
      <x:c r="AD90" s="27" t="str">
        <x:v>wording_revision_recommended</x:v>
      </x:c>
      <x:c r="AE90" s="27" t="str">
        <x:v>Partial enteral nutrition might be considered for maintaining remission in a subset of patients who can tolerate formula with routine monitoring.</x:v>
      </x:c>
      <x:c r="AF90" s="27" t="str">
        <x:v>The cited source reports that partial enteral nutrition might be considered for maintaining remission in a subset of patients who can tolerate formula with routine monitoring. This is source-attributed information, not a treatment recommendation for an individual.</x:v>
      </x:c>
      <x:c r="AG90" s="27" t="str">
        <x:v>Narrow the wording to the exact passage and retain the source's limitations and uncertainty.</x:v>
      </x:c>
      <x:c r="AH90" s="27" t="str">
        <x:v>verified_against_authoritative_public_page</x:v>
      </x:c>
      <x:c r="AI90" s="27" t="str"/>
      <x:c r="AJ90" s="27" t="str">
        <x:v>Review the proposed wording and approve only if the source, population, disease state, and outcome limitation are acceptable.</x:v>
      </x:c>
      <x:c r="AK90" s="30" t="str"/>
      <x:c r="AL90" s="30" t="str"/>
      <x:c r="AM90" s="30" t="str"/>
    </x:row>
    <x:row r="91" ht="96" customHeight="1">
      <x:c r="A91" s="27" t="str">
        <x:v>CLM-087</x:v>
      </x:c>
      <x:c r="B91" s="27" t="str">
        <x:v>SRC-023</x:v>
      </x:c>
      <x:c r="C91" s="27" t="str">
        <x:v>Eating, Diet, &amp; Nutrition for Crohn’s Disease</x:v>
      </x:c>
      <x:c r="D91" s="27" t="str">
        <x:v>expert</x:v>
      </x:c>
      <x:c r="E91" s="27" t="str">
        <x:v>https://www.niddk.nih.gov/health-information/digestive-diseases/crohns-disease/eating-diet-nutrition</x:v>
      </x:c>
      <x:c r="F91" s="27" t="str">
        <x:v>crohns_disease</x:v>
      </x:c>
      <x:c r="G91" s="27" t="str">
        <x:v>general_or_unspecified</x:v>
      </x:c>
      <x:c r="H91" s="27" t="str">
        <x:v>symptoms_vs_inflammation</x:v>
      </x:c>
      <x:c r="I91" s="27" t="str">
        <x:v>general_patient_education</x:v>
      </x:c>
      <x:c r="J91" s="27" t="str">
        <x:v>Depending on your symptoms and the medicines you take, your doctor may recommend changes to what you eat and drink.</x:v>
      </x:c>
      <x:c r="K91" s="27" t="str">
        <x:v>This official patient-information source explains: Depending on your symptoms and the medicines you take, your doctor may recommend changes to what you eat and drink.</x:v>
      </x:c>
      <x:c r="L91" s="27" t="str">
        <x:v>Patient-friendly background with explicit attribution and advice to consult an IBD care team.</x:v>
      </x:c>
      <x:c r="M91" s="27" t="str">
        <x:v>Depending on your symptoms and the medicines you take, your doctor may recommend changes to what you eat and drink.</x:v>
      </x:c>
      <x:c r="N91" s="27" t="str">
        <x:v>Public webpage</x:v>
      </x:c>
      <x:c r="O91" s="27" t="str"/>
      <x:c r="P91" s="27" t="str">
        <x:v>official_patient_information</x:v>
      </x:c>
      <x:c r="Q91" s="27" t="str">
        <x:v>official patient information</x:v>
      </x:c>
      <x:c r="R91" s="27" t="str">
        <x:v>Adults with IBD and caregivers</x:v>
      </x:c>
      <x:c r="S91" s="27" t="str">
        <x:v>Not applicable</x:v>
      </x:c>
      <x:c r="T91" s="27" t="str">
        <x:v>United States</x:v>
      </x:c>
      <x:c r="U91" s="27" t="str">
        <x:v>General diet and nutrition education</x:v>
      </x:c>
      <x:c r="V91" s="27" t="str">
        <x:v>Not applicable</x:v>
      </x:c>
      <x:c r="W91" s="27" t="str">
        <x:v>general patient education</x:v>
      </x:c>
      <x:c r="X91" s="27" t="str">
        <x:v>Patient information is explanatory, not a substitute for clinical evidence or individualized care.</x:v>
      </x:c>
      <x:c r="Y91" s="27" t="str">
        <x:v>US source; Canadian healthcare pathways and practical food context may differ.</x:v>
      </x:c>
      <x:c r="Z91" s="27" t="str">
        <x:v>Directly relevant to US health-information use and scientifically relevant to Canada; Canadian care pathways, terminology, food labelling, and service access may differ.</x:v>
      </x:c>
      <x:c r="AA91" s="27" t="str">
        <x:v>moderate</x:v>
      </x:c>
      <x:c r="AB91" s="27" t="str">
        <x:v>deterministic sentence selection</x:v>
      </x:c>
      <x:c r="AC91" s="27" t="str">
        <x:v>pending_human_review</x:v>
      </x:c>
      <x:c r="AD91" s="27" t="str">
        <x:v>ready_for_review</x:v>
      </x:c>
      <x:c r="AE91" s="27" t="str">
        <x:v>Depending on your symptoms and the medicines you take, your doctor may recommend changes to what you eat and drink.</x:v>
      </x:c>
      <x:c r="AF91" s="27" t="str"/>
      <x:c r="AG91" s="27" t="str">
        <x:v>The statement is atomic, directly traceable, appropriately limited, and informational.</x:v>
      </x:c>
      <x:c r="AH91" s="27" t="str">
        <x:v>verified_against_authoritative_public_page</x:v>
      </x:c>
      <x:c r="AI91" s="27" t="str"/>
      <x:c r="AJ91" s="27" t="str">
        <x:v>Review and decide; no automatic approval.</x:v>
      </x:c>
      <x:c r="AK91" s="30" t="str"/>
      <x:c r="AL91" s="30" t="str"/>
      <x:c r="AM91" s="30" t="str"/>
    </x:row>
    <x:row r="92" ht="96" customHeight="1">
      <x:c r="A92" s="27" t="str">
        <x:v>CLM-088</x:v>
      </x:c>
      <x:c r="B92" s="27" t="str">
        <x:v>SRC-023</x:v>
      </x:c>
      <x:c r="C92" s="27" t="str">
        <x:v>Eating, Diet, &amp; Nutrition for Crohn’s Disease</x:v>
      </x:c>
      <x:c r="D92" s="27" t="str">
        <x:v>expert</x:v>
      </x:c>
      <x:c r="E92" s="27" t="str">
        <x:v>https://www.niddk.nih.gov/health-information/digestive-diseases/crohns-disease/eating-diet-nutrition</x:v>
      </x:c>
      <x:c r="F92" s="27" t="str">
        <x:v>crohns_disease</x:v>
      </x:c>
      <x:c r="G92" s="27" t="str">
        <x:v>general_or_unspecified</x:v>
      </x:c>
      <x:c r="H92" s="27" t="str">
        <x:v>fruit_vegetables</x:v>
      </x:c>
      <x:c r="I92" s="27" t="str">
        <x:v>general_patient_education</x:v>
      </x:c>
      <x:c r="J92" s="27" t="str">
        <x:v>Your doctor may recommend eating more fruits and vegetables for Crohn’s disease.</x:v>
      </x:c>
      <x:c r="K92" s="27" t="str">
        <x:v>This official patient-information source explains: Your doctor may recommend eating more fruits and vegetables for Crohn’s disease.</x:v>
      </x:c>
      <x:c r="L92" s="27" t="str">
        <x:v>Patient-friendly background with explicit attribution and advice to consult an IBD care team.</x:v>
      </x:c>
      <x:c r="M92" s="27" t="str">
        <x:v>Your doctor may recommend eating more fruits and vegetables for Crohn’s disease.</x:v>
      </x:c>
      <x:c r="N92" s="27" t="str">
        <x:v>Public webpage</x:v>
      </x:c>
      <x:c r="O92" s="27" t="str"/>
      <x:c r="P92" s="27" t="str">
        <x:v>official_patient_information</x:v>
      </x:c>
      <x:c r="Q92" s="27" t="str">
        <x:v>official patient information</x:v>
      </x:c>
      <x:c r="R92" s="27" t="str">
        <x:v>Adults with IBD and caregivers</x:v>
      </x:c>
      <x:c r="S92" s="27" t="str">
        <x:v>Not applicable</x:v>
      </x:c>
      <x:c r="T92" s="27" t="str">
        <x:v>United States</x:v>
      </x:c>
      <x:c r="U92" s="27" t="str">
        <x:v>General diet and nutrition education</x:v>
      </x:c>
      <x:c r="V92" s="27" t="str">
        <x:v>Not applicable</x:v>
      </x:c>
      <x:c r="W92" s="27" t="str">
        <x:v>general patient education</x:v>
      </x:c>
      <x:c r="X92" s="27" t="str">
        <x:v>Patient information is explanatory, not a substitute for clinical evidence or individualized care.</x:v>
      </x:c>
      <x:c r="Y92" s="27" t="str">
        <x:v>US source; Canadian healthcare pathways and practical food context may differ.</x:v>
      </x:c>
      <x:c r="Z92" s="27" t="str">
        <x:v>Directly relevant to US health-information use and scientifically relevant to Canada; Canadian care pathways, terminology, food labelling, and service access may differ.</x:v>
      </x:c>
      <x:c r="AA92" s="27" t="str">
        <x:v>moderate</x:v>
      </x:c>
      <x:c r="AB92" s="27" t="str">
        <x:v>deterministic sentence selection</x:v>
      </x:c>
      <x:c r="AC92" s="27" t="str">
        <x:v>pending_human_review</x:v>
      </x:c>
      <x:c r="AD92" s="27" t="str">
        <x:v>wording_revision_recommended</x:v>
      </x:c>
      <x:c r="AE92" s="27" t="str">
        <x:v>Your doctor may recommend eating more fruits and vegetables for Crohn’s disease.</x:v>
      </x:c>
      <x:c r="AF92" s="27" t="str">
        <x:v>The cited source reports that your doctor may recommend eating more fruits and vegetables for Crohn’s disease.</x:v>
      </x:c>
      <x:c r="AG92" s="27" t="str">
        <x:v>Remove webpage extraction artifacts and present the material as general education, not individualized diet advice.</x:v>
      </x:c>
      <x:c r="AH92" s="27" t="str">
        <x:v>verified_against_authoritative_public_page</x:v>
      </x:c>
      <x:c r="AI92" s="27" t="str"/>
      <x:c r="AJ92" s="27" t="str">
        <x:v>Review the proposed wording and approve only if the source, population, disease state, and outcome limitation are acceptable.</x:v>
      </x:c>
      <x:c r="AK92" s="30" t="str"/>
      <x:c r="AL92" s="30" t="str"/>
      <x:c r="AM92" s="30" t="str"/>
    </x:row>
    <x:row r="93" ht="96" customHeight="1">
      <x:c r="A93" s="27" t="str">
        <x:v>CLM-089</x:v>
      </x:c>
      <x:c r="B93" s="27" t="str">
        <x:v>SRC-023</x:v>
      </x:c>
      <x:c r="C93" s="27" t="str">
        <x:v>Eating, Diet, &amp; Nutrition for Crohn’s Disease</x:v>
      </x:c>
      <x:c r="D93" s="27" t="str">
        <x:v>expert</x:v>
      </x:c>
      <x:c r="E93" s="27" t="str">
        <x:v>https://www.niddk.nih.gov/health-information/digestive-diseases/crohns-disease/eating-diet-nutrition</x:v>
      </x:c>
      <x:c r="F93" s="27" t="str">
        <x:v>crohns_disease</x:v>
      </x:c>
      <x:c r="G93" s="27" t="str">
        <x:v>general_or_unspecified</x:v>
      </x:c>
      <x:c r="H93" s="27" t="str">
        <x:v>core_condition_knowledge</x:v>
      </x:c>
      <x:c r="I93" s="27" t="str">
        <x:v>general_patient_education</x:v>
      </x:c>
      <x:c r="J93" s="27" t="str">
        <x:v>10 Your doctor may also recommend dietary supplements if your body doesn’t absorb enough nutrients.</x:v>
      </x:c>
      <x:c r="K93" s="27" t="str">
        <x:v>This official patient-information source explains: 10 Your doctor may also recommend dietary supplements if your body doesn’t absorb enough nutrients.</x:v>
      </x:c>
      <x:c r="L93" s="27" t="str">
        <x:v>Patient-friendly background with explicit attribution and advice to consult an IBD care team.</x:v>
      </x:c>
      <x:c r="M93" s="27" t="str">
        <x:v>10 Your doctor may also recommend dietary supplements if your body doesn’t absorb enough nutrients.</x:v>
      </x:c>
      <x:c r="N93" s="27" t="str">
        <x:v>Public webpage</x:v>
      </x:c>
      <x:c r="O93" s="27" t="str"/>
      <x:c r="P93" s="27" t="str">
        <x:v>official_patient_information</x:v>
      </x:c>
      <x:c r="Q93" s="27" t="str">
        <x:v>official patient information</x:v>
      </x:c>
      <x:c r="R93" s="27" t="str">
        <x:v>Adults with IBD and caregivers</x:v>
      </x:c>
      <x:c r="S93" s="27" t="str">
        <x:v>Not applicable</x:v>
      </x:c>
      <x:c r="T93" s="27" t="str">
        <x:v>United States</x:v>
      </x:c>
      <x:c r="U93" s="27" t="str">
        <x:v>General diet and nutrition education</x:v>
      </x:c>
      <x:c r="V93" s="27" t="str">
        <x:v>Not applicable</x:v>
      </x:c>
      <x:c r="W93" s="27" t="str">
        <x:v>general patient education</x:v>
      </x:c>
      <x:c r="X93" s="27" t="str">
        <x:v>Patient information is explanatory, not a substitute for clinical evidence or individualized care.</x:v>
      </x:c>
      <x:c r="Y93" s="27" t="str">
        <x:v>US source; Canadian healthcare pathways and practical food context may differ.</x:v>
      </x:c>
      <x:c r="Z93" s="27" t="str">
        <x:v>Directly relevant to US health-information use and scientifically relevant to Canada; Canadian care pathways, terminology, food labelling, and service access may differ.</x:v>
      </x:c>
      <x:c r="AA93" s="27" t="str">
        <x:v>moderate</x:v>
      </x:c>
      <x:c r="AB93" s="27" t="str">
        <x:v>deterministic sentence selection</x:v>
      </x:c>
      <x:c r="AC93" s="27" t="str">
        <x:v>pending_human_review</x:v>
      </x:c>
      <x:c r="AD93" s="27" t="str">
        <x:v>wording_revision_recommended</x:v>
      </x:c>
      <x:c r="AE93" s="27" t="str">
        <x:v>10 Your doctor may also recommend dietary supplements if your body doesn’t absorb enough nutrients.</x:v>
      </x:c>
      <x:c r="AF93" s="27" t="str">
        <x:v>The cited source reports that your doctor may also recommend dietary supplements if your body doesn’t absorb enough nutrients.</x:v>
      </x:c>
      <x:c r="AG93" s="27" t="str">
        <x:v>Remove webpage extraction artifacts and present the material as general education, not individualized diet advice.</x:v>
      </x:c>
      <x:c r="AH93" s="27" t="str">
        <x:v>verified_against_authoritative_public_page</x:v>
      </x:c>
      <x:c r="AI93" s="27" t="str"/>
      <x:c r="AJ93" s="27" t="str">
        <x:v>Review the proposed wording and approve only if the source, population, disease state, and outcome limitation are acceptable.</x:v>
      </x:c>
      <x:c r="AK93" s="30" t="str"/>
      <x:c r="AL93" s="30" t="str"/>
      <x:c r="AM93" s="30" t="str"/>
    </x:row>
    <x:row r="94" ht="96" customHeight="1">
      <x:c r="A94" s="27" t="str">
        <x:v>CLM-090</x:v>
      </x:c>
      <x:c r="B94" s="27" t="str">
        <x:v>SRC-024</x:v>
      </x:c>
      <x:c r="C94" s="27" t="str">
        <x:v>What Should I Eat with IBD?</x:v>
      </x:c>
      <x:c r="D94" s="27" t="str">
        <x:v>expert</x:v>
      </x:c>
      <x:c r="E94" s="27" t="str">
        <x:v>https://www.crohnscolitisfoundation.org/patientsandcaregivers/diet-and-nutrition/what-should-i-eat</x:v>
      </x:c>
      <x:c r="F94" s="27" t="str">
        <x:v>ulcerative_colitis; crohns_disease; ibd_general</x:v>
      </x:c>
      <x:c r="G94" s="27" t="str">
        <x:v>general_or_unspecified</x:v>
      </x:c>
      <x:c r="H94" s="27" t="str">
        <x:v>core_condition_knowledge</x:v>
      </x:c>
      <x:c r="I94" s="27" t="str">
        <x:v>general_patient_education</x:v>
      </x:c>
      <x:c r="J94" s="27" t="str">
        <x:v>After reviewing the recommendations, the Foundation has determined that the information in our Diet and Nutrition resources remains unchanged for the IBD community.</x:v>
      </x:c>
      <x:c r="K94" s="27" t="str">
        <x:v>This official patient-information source explains: After reviewing the recommendations, the Foundation has determined that the information in our Diet and Nutrition resources remains unchanged for the IBD community.</x:v>
      </x:c>
      <x:c r="L94" s="27" t="str">
        <x:v>Patient-friendly background with explicit attribution and advice to consult an IBD care team.</x:v>
      </x:c>
      <x:c r="M94" s="27" t="str">
        <x:v>After reviewing the recommendations, the Foundation has determined that the information in our Diet and Nutrition resources remains unchanged for the IBD community.</x:v>
      </x:c>
      <x:c r="N94" s="27" t="str">
        <x:v>Public webpage</x:v>
      </x:c>
      <x:c r="O94" s="27" t="str"/>
      <x:c r="P94" s="27" t="str">
        <x:v>official_patient_information</x:v>
      </x:c>
      <x:c r="Q94" s="27" t="str">
        <x:v>official patient information</x:v>
      </x:c>
      <x:c r="R94" s="27" t="str">
        <x:v>Adults with IBD and caregivers</x:v>
      </x:c>
      <x:c r="S94" s="27" t="str">
        <x:v>Not applicable</x:v>
      </x:c>
      <x:c r="T94" s="27" t="str">
        <x:v>United States</x:v>
      </x:c>
      <x:c r="U94" s="27" t="str">
        <x:v>General diet and nutrition education</x:v>
      </x:c>
      <x:c r="V94" s="27" t="str">
        <x:v>Not applicable</x:v>
      </x:c>
      <x:c r="W94" s="27" t="str">
        <x:v>general patient education</x:v>
      </x:c>
      <x:c r="X94" s="27" t="str">
        <x:v>Patient information is explanatory, not a substitute for clinical evidence or individualized care.</x:v>
      </x:c>
      <x:c r="Y94" s="27" t="str">
        <x:v>US source; Canadian healthcare pathways and practical food context may differ.</x:v>
      </x:c>
      <x:c r="Z94" s="27" t="str">
        <x:v>Directly relevant to US health-information use and scientifically relevant to Canada; Canadian care pathways, terminology, food labelling, and service access may differ.</x:v>
      </x:c>
      <x:c r="AA94" s="27" t="str">
        <x:v>moderate</x:v>
      </x:c>
      <x:c r="AB94" s="27" t="str">
        <x:v>deterministic sentence selection</x:v>
      </x:c>
      <x:c r="AC94" s="27" t="str">
        <x:v>pending_human_review</x:v>
      </x:c>
      <x:c r="AD94" s="27" t="str">
        <x:v>reject_recommended</x:v>
      </x:c>
      <x:c r="AE94" s="27" t="str">
        <x:v>After reviewing the recommendations, the Foundation has determined that the information in our Diet and Nutrition resources remains unchanged for the IBD community.</x:v>
      </x:c>
      <x:c r="AF94" s="27" t="str"/>
      <x:c r="AG94" s="27" t="str">
        <x:v>This is a methods, background, sample-description, vague, or non-actionable sentence rather than a safe atomic evidence claim; or it falls outside the product's non-diagnostic, non-treatment scope.</x:v>
      </x:c>
      <x:c r="AH94" s="27" t="str">
        <x:v>verified_against_authoritative_public_page</x:v>
      </x:c>
      <x:c r="AI94" s="27" t="str"/>
      <x:c r="AJ94" s="27" t="str">
        <x:v>Reject unless a reviewer identifies a distinct, directly supported informational use.</x:v>
      </x:c>
      <x:c r="AK94" s="30" t="str"/>
      <x:c r="AL94" s="30" t="str"/>
      <x:c r="AM94" s="30" t="str"/>
    </x:row>
    <x:row r="95" ht="96" customHeight="1">
      <x:c r="A95" s="27" t="str">
        <x:v>CLM-091</x:v>
      </x:c>
      <x:c r="B95" s="27" t="str">
        <x:v>SRC-024</x:v>
      </x:c>
      <x:c r="C95" s="27" t="str">
        <x:v>What Should I Eat with IBD?</x:v>
      </x:c>
      <x:c r="D95" s="27" t="str">
        <x:v>expert</x:v>
      </x:c>
      <x:c r="E95" s="27" t="str">
        <x:v>https://www.crohnscolitisfoundation.org/patientsandcaregivers/diet-and-nutrition/what-should-i-eat</x:v>
      </x:c>
      <x:c r="F95" s="27" t="str">
        <x:v>ulcerative_colitis; crohns_disease; ibd_general</x:v>
      </x:c>
      <x:c r="G95" s="27" t="str">
        <x:v>active_disease</x:v>
      </x:c>
      <x:c r="H95" s="27" t="str">
        <x:v>core_condition_knowledge</x:v>
      </x:c>
      <x:c r="I95" s="27" t="str">
        <x:v>general_patient_education</x:v>
      </x:c>
      <x:c r="J95" s="27" t="str">
        <x:v>There are also foods associated with increasing risk for active disease.</x:v>
      </x:c>
      <x:c r="K95" s="27" t="str">
        <x:v>This official patient-information source explains: There are also foods associated with increasing risk for active disease.</x:v>
      </x:c>
      <x:c r="L95" s="27" t="str">
        <x:v>Patient-friendly background with explicit attribution and advice to consult an IBD care team.</x:v>
      </x:c>
      <x:c r="M95" s="27" t="str">
        <x:v>There are also foods associated with increasing risk for active disease.</x:v>
      </x:c>
      <x:c r="N95" s="27" t="str">
        <x:v>Public webpage</x:v>
      </x:c>
      <x:c r="O95" s="27" t="str"/>
      <x:c r="P95" s="27" t="str">
        <x:v>official_patient_information</x:v>
      </x:c>
      <x:c r="Q95" s="27" t="str">
        <x:v>official patient information</x:v>
      </x:c>
      <x:c r="R95" s="27" t="str">
        <x:v>Adults with IBD and caregivers</x:v>
      </x:c>
      <x:c r="S95" s="27" t="str">
        <x:v>Not applicable</x:v>
      </x:c>
      <x:c r="T95" s="27" t="str">
        <x:v>United States</x:v>
      </x:c>
      <x:c r="U95" s="27" t="str">
        <x:v>General diet and nutrition education</x:v>
      </x:c>
      <x:c r="V95" s="27" t="str">
        <x:v>Not applicable</x:v>
      </x:c>
      <x:c r="W95" s="27" t="str">
        <x:v>general patient education</x:v>
      </x:c>
      <x:c r="X95" s="27" t="str">
        <x:v>Patient information is explanatory, not a substitute for clinical evidence or individualized care.</x:v>
      </x:c>
      <x:c r="Y95" s="27" t="str">
        <x:v>US source; Canadian healthcare pathways and practical food context may differ.</x:v>
      </x:c>
      <x:c r="Z95" s="27" t="str">
        <x:v>Directly relevant to US health-information use and scientifically relevant to Canada; Canadian care pathways, terminology, food labelling, and service access may differ.</x:v>
      </x:c>
      <x:c r="AA95" s="27" t="str">
        <x:v>moderate</x:v>
      </x:c>
      <x:c r="AB95" s="27" t="str">
        <x:v>deterministic sentence selection</x:v>
      </x:c>
      <x:c r="AC95" s="27" t="str">
        <x:v>pending_human_review</x:v>
      </x:c>
      <x:c r="AD95" s="27" t="str">
        <x:v>reject_recommended</x:v>
      </x:c>
      <x:c r="AE95" s="27" t="str">
        <x:v>There are also foods associated with increasing risk for active disease.</x:v>
      </x:c>
      <x:c r="AF95" s="27" t="str"/>
      <x:c r="AG95" s="27" t="str">
        <x:v>This is a methods, background, sample-description, vague, or non-actionable sentence rather than a safe atomic evidence claim; or it falls outside the product's non-diagnostic, non-treatment scope.</x:v>
      </x:c>
      <x:c r="AH95" s="27" t="str">
        <x:v>verified_against_authoritative_public_page</x:v>
      </x:c>
      <x:c r="AI95" s="27" t="str"/>
      <x:c r="AJ95" s="27" t="str">
        <x:v>Reject unless a reviewer identifies a distinct, directly supported informational use.</x:v>
      </x:c>
      <x:c r="AK95" s="30" t="str"/>
      <x:c r="AL95" s="30" t="str"/>
      <x:c r="AM95" s="30" t="str"/>
    </x:row>
    <x:row r="96" ht="96" customHeight="1">
      <x:c r="A96" s="27" t="str">
        <x:v>CLM-092</x:v>
      </x:c>
      <x:c r="B96" s="27" t="str">
        <x:v>SRC-024</x:v>
      </x:c>
      <x:c r="C96" s="27" t="str">
        <x:v>What Should I Eat with IBD?</x:v>
      </x:c>
      <x:c r="D96" s="27" t="str">
        <x:v>expert</x:v>
      </x:c>
      <x:c r="E96" s="27" t="str">
        <x:v>https://www.crohnscolitisfoundation.org/patientsandcaregivers/diet-and-nutrition/what-should-i-eat</x:v>
      </x:c>
      <x:c r="F96" s="27" t="str">
        <x:v>ulcerative_colitis; crohns_disease; ibd_general</x:v>
      </x:c>
      <x:c r="G96" s="27" t="str">
        <x:v>general_or_unspecified</x:v>
      </x:c>
      <x:c r="H96" s="27" t="str">
        <x:v>core_condition_knowledge</x:v>
      </x:c>
      <x:c r="I96" s="27" t="str">
        <x:v>general_patient_education</x:v>
      </x:c>
      <x:c r="J96" s="27" t="str">
        <x:v>Disordered eating is common in people with GI diseases and is associated with worse disease outcomes 2 .</x:v>
      </x:c>
      <x:c r="K96" s="27" t="str">
        <x:v>This official patient-information source explains: Disordered eating is common in people with GI diseases and is associated with worse disease outcomes 2 .</x:v>
      </x:c>
      <x:c r="L96" s="27" t="str">
        <x:v>Patient-friendly background with explicit attribution and advice to consult an IBD care team.</x:v>
      </x:c>
      <x:c r="M96" s="27" t="str">
        <x:v>Disordered eating is common in people with GI diseases and is associated with worse disease outcomes 2 .</x:v>
      </x:c>
      <x:c r="N96" s="27" t="str">
        <x:v>Public webpage</x:v>
      </x:c>
      <x:c r="O96" s="27" t="str"/>
      <x:c r="P96" s="27" t="str">
        <x:v>official_patient_information</x:v>
      </x:c>
      <x:c r="Q96" s="27" t="str">
        <x:v>official patient information</x:v>
      </x:c>
      <x:c r="R96" s="27" t="str">
        <x:v>Adults with IBD and caregivers</x:v>
      </x:c>
      <x:c r="S96" s="27" t="str">
        <x:v>Not applicable</x:v>
      </x:c>
      <x:c r="T96" s="27" t="str">
        <x:v>United States</x:v>
      </x:c>
      <x:c r="U96" s="27" t="str">
        <x:v>General diet and nutrition education</x:v>
      </x:c>
      <x:c r="V96" s="27" t="str">
        <x:v>Not applicable</x:v>
      </x:c>
      <x:c r="W96" s="27" t="str">
        <x:v>general patient education</x:v>
      </x:c>
      <x:c r="X96" s="27" t="str">
        <x:v>Patient information is explanatory, not a substitute for clinical evidence or individualized care.</x:v>
      </x:c>
      <x:c r="Y96" s="27" t="str">
        <x:v>US source; Canadian healthcare pathways and practical food context may differ.</x:v>
      </x:c>
      <x:c r="Z96" s="27" t="str">
        <x:v>Directly relevant to US health-information use and scientifically relevant to Canada; Canadian care pathways, terminology, food labelling, and service access may differ.</x:v>
      </x:c>
      <x:c r="AA96" s="27" t="str">
        <x:v>moderate</x:v>
      </x:c>
      <x:c r="AB96" s="27" t="str">
        <x:v>deterministic sentence selection</x:v>
      </x:c>
      <x:c r="AC96" s="27" t="str">
        <x:v>pending_human_review</x:v>
      </x:c>
      <x:c r="AD96" s="27" t="str">
        <x:v>needs_more_evidence</x:v>
      </x:c>
      <x:c r="AE96" s="27" t="str">
        <x:v>Disordered eating is common in people with GI diseases and is associated with worse disease outcomes 2 .</x:v>
      </x:c>
      <x:c r="AF96" s="27"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AG96" s="27" t="str">
        <x:v>The statement depends on superseded guidance, missing full-text context, or an unresolved source-level citation/version issue.</x:v>
      </x:c>
      <x:c r="AH96" s="27" t="str">
        <x:v>verified_against_authoritative_public_page</x:v>
      </x:c>
      <x:c r="AI96" s="27" t="str"/>
      <x:c r="AJ96" s="27" t="str">
        <x:v>Request stronger/current direct support before approval.</x:v>
      </x:c>
      <x:c r="AK96" s="30" t="str"/>
      <x:c r="AL96" s="30" t="str"/>
      <x:c r="AM96" s="30" t="str"/>
    </x:row>
    <x:row r="97" ht="96" customHeight="1">
      <x:c r="A97" s="27" t="str">
        <x:v>CLM-093</x:v>
      </x:c>
      <x:c r="B97" s="27" t="str">
        <x:v>SRC-025</x:v>
      </x:c>
      <x:c r="C97" s="27" t="str">
        <x:v>Food and IBD</x:v>
      </x:c>
      <x:c r="D97" s="27" t="str">
        <x:v>expert</x:v>
      </x:c>
      <x:c r="E97" s="27" t="str">
        <x:v>https://www.crohnsandcolitis.org.uk/info-support/information-about-crohns-and-colitis/all-information-about-crohns-and-colitis/living-with-crohns-or-colitis/food</x:v>
      </x:c>
      <x:c r="F97" s="27" t="str">
        <x:v>ulcerative_colitis; crohns_disease; ibd_general</x:v>
      </x:c>
      <x:c r="G97" s="27" t="str">
        <x:v>general_or_unspecified</x:v>
      </x:c>
      <x:c r="H97" s="27" t="str">
        <x:v>fruit_vegetables</x:v>
      </x:c>
      <x:c r="I97" s="27" t="str">
        <x:v>general_patient_education</x:v>
      </x:c>
      <x:c r="J97" s="27" t="str">
        <x:v>Melanie Living with Crohn's Fruit and vegetables It is recommended that people try to eat at least five portions of a variety of fruit and vegetables every day.</x:v>
      </x:c>
      <x:c r="K97" s="27" t="str">
        <x:v>This official patient-information source explains: Melanie Living with Crohn's Fruit and vegetables It is recommended that people try to eat at least five portions of a variety of fruit and vegetables every day.</x:v>
      </x:c>
      <x:c r="L97" s="27" t="str">
        <x:v>Patient-friendly background with explicit attribution and advice to consult an IBD care team.</x:v>
      </x:c>
      <x:c r="M97" s="27" t="str">
        <x:v>Melanie Living with Crohn's Fruit and vegetables It is recommended that people try to eat at least five portions of a variety of fruit and vegetables every day.</x:v>
      </x:c>
      <x:c r="N97" s="27" t="str">
        <x:v>Public webpage</x:v>
      </x:c>
      <x:c r="O97" s="27" t="str"/>
      <x:c r="P97" s="27" t="str">
        <x:v>official_patient_information</x:v>
      </x:c>
      <x:c r="Q97" s="27" t="str">
        <x:v>official patient information</x:v>
      </x:c>
      <x:c r="R97" s="27" t="str">
        <x:v>Adults with IBD and caregivers</x:v>
      </x:c>
      <x:c r="S97" s="27" t="str">
        <x:v>Not applicable</x:v>
      </x:c>
      <x:c r="T97" s="27" t="str">
        <x:v>United Kingdom</x:v>
      </x:c>
      <x:c r="U97" s="27" t="str">
        <x:v>General diet and nutrition education</x:v>
      </x:c>
      <x:c r="V97" s="27" t="str">
        <x:v>Not applicable</x:v>
      </x:c>
      <x:c r="W97" s="27" t="str">
        <x:v>general patient education</x:v>
      </x:c>
      <x:c r="X97" s="27" t="str">
        <x:v>Patient information is explanatory, not a substitute for clinical evidence or individualized care.</x:v>
      </x:c>
      <x:c r="Y97" s="27" t="str">
        <x:v>United Kingdom source; Canadian and US food environments, labelling, dietetic access, and care pathways may differ.</x:v>
      </x:c>
      <x:c r="Z97" s="27" t="str">
        <x:v>Scientifically relevant to Canada/US when disease context is comparable; food availability, cultural fit, terminology, and healthcare delivery require North American adaptation.</x:v>
      </x:c>
      <x:c r="AA97" s="27" t="str">
        <x:v>moderate</x:v>
      </x:c>
      <x:c r="AB97" s="27" t="str">
        <x:v>deterministic sentence selection</x:v>
      </x:c>
      <x:c r="AC97" s="27" t="str">
        <x:v>pending_human_review</x:v>
      </x:c>
      <x:c r="AD97" s="27" t="str">
        <x:v>wording_revision_recommended</x:v>
      </x:c>
      <x:c r="AE97" s="27" t="str">
        <x:v>Melanie Living with Crohn's Fruit and vegetables It is recommended that people try to eat at least five portions of a variety of fruit and vegetables every day.</x:v>
      </x:c>
      <x:c r="AF97" s="27"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AG97" s="27" t="str">
        <x:v>Attribute the statement to the source and retain disease-state, population, evidence-strength, and clinician/dietitian context so it is not personalized treatment advice.</x:v>
      </x:c>
      <x:c r="AH97" s="27" t="str">
        <x:v>verified_against_authoritative_public_page</x:v>
      </x:c>
      <x:c r="AI97" s="27" t="str"/>
      <x:c r="AJ97" s="27" t="str">
        <x:v>Review the proposed wording and approve only if the source, population, disease state, and outcome limitation are acceptable.</x:v>
      </x:c>
      <x:c r="AK97" s="30" t="str"/>
      <x:c r="AL97" s="30" t="str"/>
      <x:c r="AM97" s="30" t="str"/>
    </x:row>
    <x:row r="98" ht="96" customHeight="1">
      <x:c r="A98" s="27" t="str">
        <x:v>CLM-094</x:v>
      </x:c>
      <x:c r="B98" s="27" t="str">
        <x:v>SRC-025</x:v>
      </x:c>
      <x:c r="C98" s="27" t="str">
        <x:v>Food and IBD</x:v>
      </x:c>
      <x:c r="D98" s="27" t="str">
        <x:v>expert</x:v>
      </x:c>
      <x:c r="E98" s="27" t="str">
        <x:v>https://www.crohnsandcolitis.org.uk/info-support/information-about-crohns-and-colitis/all-information-about-crohns-and-colitis/living-with-crohns-or-colitis/food</x:v>
      </x:c>
      <x:c r="F98" s="27" t="str">
        <x:v>ulcerative_colitis; crohns_disease; ibd_general</x:v>
      </x:c>
      <x:c r="G98" s="27" t="str">
        <x:v>general_or_unspecified</x:v>
      </x:c>
      <x:c r="H98" s="27" t="str">
        <x:v>fibre</x:v>
      </x:c>
      <x:c r="I98" s="27" t="str">
        <x:v>general_patient_education</x:v>
      </x:c>
      <x:c r="J98" s="27" t="str">
        <x:v>Guidelines recommend that you eat 30g of fibre a day.</x:v>
      </x:c>
      <x:c r="K98" s="27" t="str">
        <x:v>This official patient-information source explains: Guidelines recommend that you eat 30g of fibre a day.</x:v>
      </x:c>
      <x:c r="L98" s="27" t="str">
        <x:v>Patient-friendly background with explicit attribution and advice to consult an IBD care team.</x:v>
      </x:c>
      <x:c r="M98" s="27" t="str">
        <x:v>Guidelines recommend that you eat 30g of fibre a day.</x:v>
      </x:c>
      <x:c r="N98" s="27" t="str">
        <x:v>Public webpage</x:v>
      </x:c>
      <x:c r="O98" s="27" t="str"/>
      <x:c r="P98" s="27" t="str">
        <x:v>official_patient_information</x:v>
      </x:c>
      <x:c r="Q98" s="27" t="str">
        <x:v>official patient information</x:v>
      </x:c>
      <x:c r="R98" s="27" t="str">
        <x:v>Adults with IBD and caregivers</x:v>
      </x:c>
      <x:c r="S98" s="27" t="str">
        <x:v>Not applicable</x:v>
      </x:c>
      <x:c r="T98" s="27" t="str">
        <x:v>United Kingdom</x:v>
      </x:c>
      <x:c r="U98" s="27" t="str">
        <x:v>General diet and nutrition education</x:v>
      </x:c>
      <x:c r="V98" s="27" t="str">
        <x:v>Not applicable</x:v>
      </x:c>
      <x:c r="W98" s="27" t="str">
        <x:v>general patient education</x:v>
      </x:c>
      <x:c r="X98" s="27" t="str">
        <x:v>Patient information is explanatory, not a substitute for clinical evidence or individualized care.</x:v>
      </x:c>
      <x:c r="Y98" s="27" t="str">
        <x:v>United Kingdom source; Canadian and US food environments, labelling, dietetic access, and care pathways may differ.</x:v>
      </x:c>
      <x:c r="Z98" s="27" t="str">
        <x:v>Scientifically relevant to Canada/US when disease context is comparable; food availability, cultural fit, terminology, and healthcare delivery require North American adaptation.</x:v>
      </x:c>
      <x:c r="AA98" s="27" t="str">
        <x:v>moderate</x:v>
      </x:c>
      <x:c r="AB98" s="27" t="str">
        <x:v>deterministic sentence selection</x:v>
      </x:c>
      <x:c r="AC98" s="27" t="str">
        <x:v>pending_human_review</x:v>
      </x:c>
      <x:c r="AD98" s="27" t="str">
        <x:v>wording_revision_recommended</x:v>
      </x:c>
      <x:c r="AE98" s="27" t="str">
        <x:v>Guidelines recommend that you eat 30g of fibre a day.</x:v>
      </x:c>
      <x:c r="AF98" s="27" t="str">
        <x:v>The cited source reports that guidelines recommend that you eat 30g of fibre a day. The webpage version date should be confirmed before approval.</x:v>
      </x:c>
      <x:c r="AG98" s="27" t="str">
        <x:v>Remove webpage extraction artifacts and present the material as general education, not individualized diet advice.</x:v>
      </x:c>
      <x:c r="AH98" s="27" t="str">
        <x:v>verified_against_authoritative_public_page</x:v>
      </x:c>
      <x:c r="AI98" s="27" t="str"/>
      <x:c r="AJ98" s="27" t="str">
        <x:v>Review the proposed wording and approve only if the source, population, disease state, and outcome limitation are acceptable.</x:v>
      </x:c>
      <x:c r="AK98" s="30" t="str"/>
      <x:c r="AL98" s="30" t="str"/>
      <x:c r="AM98" s="30" t="str"/>
    </x:row>
    <x:row r="99" ht="96" customHeight="1">
      <x:c r="A99" s="28" t="str">
        <x:v>CLM-095</x:v>
      </x:c>
      <x:c r="B99" s="28" t="str">
        <x:v>SRC-025</x:v>
      </x:c>
      <x:c r="C99" s="28" t="str">
        <x:v>Food and IBD</x:v>
      </x:c>
      <x:c r="D99" s="28" t="str">
        <x:v>expert</x:v>
      </x:c>
      <x:c r="E99" s="28" t="str">
        <x:v>https://www.crohnsandcolitis.org.uk/info-support/information-about-crohns-and-colitis/all-information-about-crohns-and-colitis/living-with-crohns-or-colitis/food</x:v>
      </x:c>
      <x:c r="F99" s="28" t="str">
        <x:v>ulcerative_colitis; crohns_disease; ibd_general</x:v>
      </x:c>
      <x:c r="G99" s="28" t="str">
        <x:v>general_or_unspecified</x:v>
      </x:c>
      <x:c r="H99" s="28" t="str">
        <x:v>alcohol</x:v>
      </x:c>
      <x:c r="I99" s="28" t="str">
        <x:v>general_patient_education</x:v>
      </x:c>
      <x:c r="J99" s="28" t="str">
        <x:v>Alcohol There is not enough high-quality evidence to know for certain if drinking alcohol could increase your risk of a flare-up.</x:v>
      </x:c>
      <x:c r="K99" s="28" t="str">
        <x:v>This official patient-information source explains: Alcohol There is not enough high-quality evidence to know for certain if drinking alcohol could increase your risk of a flare-up.</x:v>
      </x:c>
      <x:c r="L99" s="28" t="str">
        <x:v>Patient-friendly background with explicit attribution and advice to consult an IBD care team.</x:v>
      </x:c>
      <x:c r="M99" s="28" t="str">
        <x:v>Alcohol There is not enough high-quality evidence to know for certain if drinking alcohol could increase your risk of a flare-up.</x:v>
      </x:c>
      <x:c r="N99" s="28" t="str">
        <x:v>Public webpage</x:v>
      </x:c>
      <x:c r="O99" s="28" t="str"/>
      <x:c r="P99" s="28" t="str">
        <x:v>official_patient_information</x:v>
      </x:c>
      <x:c r="Q99" s="28" t="str">
        <x:v>official patient information</x:v>
      </x:c>
      <x:c r="R99" s="28" t="str">
        <x:v>Adults with IBD and caregivers</x:v>
      </x:c>
      <x:c r="S99" s="28" t="str">
        <x:v>Not applicable</x:v>
      </x:c>
      <x:c r="T99" s="28" t="str">
        <x:v>United Kingdom</x:v>
      </x:c>
      <x:c r="U99" s="28" t="str">
        <x:v>General diet and nutrition education</x:v>
      </x:c>
      <x:c r="V99" s="28" t="str">
        <x:v>Not applicable</x:v>
      </x:c>
      <x:c r="W99" s="28" t="str">
        <x:v>general patient education</x:v>
      </x:c>
      <x:c r="X99" s="28" t="str">
        <x:v>Patient information is explanatory, not a substitute for clinical evidence or individualized care.</x:v>
      </x:c>
      <x:c r="Y99" s="28" t="str">
        <x:v>United Kingdom source; Canadian and US food environments, labelling, dietetic access, and care pathways may differ.</x:v>
      </x:c>
      <x:c r="Z99" s="28" t="str">
        <x:v>Scientifically relevant to Canada/US when disease context is comparable; food availability, cultural fit, terminology, and healthcare delivery require North American adaptation.</x:v>
      </x:c>
      <x:c r="AA99" s="28" t="str">
        <x:v>moderate</x:v>
      </x:c>
      <x:c r="AB99" s="28" t="str">
        <x:v>deterministic sentence selection</x:v>
      </x:c>
      <x:c r="AC99" s="28" t="str">
        <x:v>pending_human_review</x:v>
      </x:c>
      <x:c r="AD99" s="28" t="str">
        <x:v>wording_revision_recommended</x:v>
      </x:c>
      <x:c r="AE99" s="28" t="str">
        <x:v>Alcohol There is not enough high-quality evidence to know for certain if drinking alcohol could increase your risk of a flare-up.</x:v>
      </x:c>
      <x:c r="AF99" s="28"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AG99" s="28" t="str">
        <x:v>Keep the observational or incidence framing explicit; do not convert association into causal or individual disease-course advice.</x:v>
      </x:c>
      <x:c r="AH99" s="28" t="str">
        <x:v>verified_against_authoritative_public_page</x:v>
      </x:c>
      <x:c r="AI99" s="28" t="str"/>
      <x:c r="AJ99" s="28" t="str">
        <x:v>Review the proposed wording and approve only if the source, population, disease state, and outcome limitation are acceptable.</x:v>
      </x:c>
      <x:c r="AK99" s="31" t="str"/>
      <x:c r="AL99" s="31" t="str"/>
      <x:c r="AM99" s="31" t="str"/>
    </x:row>
  </x:sheetData>
  <x:mergeCells>
    <x:mergeCell ref="A1:AM1"/>
    <x:mergeCell ref="A2:AM2"/>
  </x:mergeCells>
  <x:conditionalFormatting sqref="AD5:AD99">
    <x:cfRule type="containsText" dxfId="6" priority="1" operator="containsText" text="ready_for_review"/>
    <x:cfRule type="containsText" dxfId="7" priority="2" operator="containsText" text="revision"/>
    <x:cfRule type="containsText" dxfId="8" priority="3" operator="containsText" text="needs"/>
    <x:cfRule type="containsText" dxfId="9" priority="4" operator="containsText" text="insufficient"/>
    <x:cfRule type="containsText" dxfId="10" priority="5" operator="containsText" text="superseded"/>
    <x:cfRule type="containsText" dxfId="11" priority="6" operator="containsText" text="reject"/>
  </x:conditionalFormatting>
  <x:dataValidations count="1">
    <x:dataValidation type="list" sqref="AK5:AK99">
      <x:formula1>"Approve,Reject,Approve revised wording,Needs more evidence"</x:formula1>
    </x:dataValidation>
  </x:dataValidations>
  <x:pageMargins left="0.7" right="0.7" top="0.75" bottom="0.75" header="0.3" footer="0.3"/>
  <x:tableParts count="1">
    <x:tablePart xmlns:r="http://schemas.openxmlformats.org/officeDocument/2006/relationships" r:id="R462069d29477460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0" hidden="0" customWidth="1"/>
    <x:col min="4" max="4" width="22" hidden="0" customWidth="1"/>
    <x:col min="5" max="5" width="28" hidden="0" customWidth="1"/>
    <x:col min="6" max="6" width="34" hidden="0" customWidth="1"/>
    <x:col min="7" max="7" width="54" hidden="0" customWidth="1"/>
    <x:col min="8" max="8" width="20" hidden="0" customWidth="1"/>
    <x:col min="9" max="9" width="32" hidden="0" customWidth="1"/>
    <x:col min="10" max="10" width="18" hidden="0" customWidth="1"/>
    <x:col min="11" max="11" width="48" hidden="0" customWidth="1"/>
    <x:col min="12" max="12" width="20" hidden="0" customWidth="1"/>
    <x:col min="13" max="13" width="22" hidden="0" customWidth="1"/>
    <x:col min="14" max="14" width="24" hidden="0" customWidth="1"/>
    <x:col min="15" max="15" width="22" hidden="0" customWidth="1"/>
    <x:col min="16" max="16" width="22" hidden="0" customWidth="1"/>
    <x:col min="17" max="17" width="26" hidden="0" customWidth="1"/>
    <x:col min="18" max="18" width="38" hidden="0" customWidth="1"/>
  </x:cols>
  <x:sheetData>
    <x:row r="1" ht="30" customHeight="1">
      <x:c r="A1" s="3" t="str">
        <x:v>Conflict and non-comparability QA</x:v>
      </x:c>
      <x:c r="B1" s="3"/>
      <x:c r="C1" s="3"/>
      <x:c r="D1" s="3"/>
      <x:c r="E1" s="3"/>
      <x:c r="F1" s="3"/>
      <x:c r="G1" s="3"/>
      <x:c r="H1" s="3"/>
      <x:c r="I1" s="3"/>
      <x:c r="J1" s="3"/>
      <x:c r="K1" s="3"/>
      <x:c r="L1" s="3"/>
      <x:c r="M1" s="3"/>
      <x:c r="N1" s="3"/>
      <x:c r="O1" s="3"/>
      <x:c r="P1" s="3"/>
      <x:c r="Q1" s="3"/>
      <x:c r="R1" s="3"/>
    </x:row>
    <x:row r="2" ht="42" customHeight="1">
      <x:c r="A2" s="7" t="str">
        <x:v>All 80 original flags are preserved and classified exactly once. No winner is forced when records are not materially comparable.</x:v>
      </x:c>
      <x:c r="B2" s="7"/>
      <x:c r="C2" s="7"/>
      <x:c r="D2" s="7"/>
      <x:c r="E2" s="7"/>
      <x:c r="F2" s="7"/>
      <x:c r="G2" s="7"/>
      <x:c r="H2" s="7"/>
      <x:c r="I2" s="7"/>
      <x:c r="J2" s="7"/>
      <x:c r="K2" s="7"/>
      <x:c r="L2" s="7"/>
      <x:c r="M2" s="7"/>
      <x:c r="N2" s="7"/>
      <x:c r="O2" s="7"/>
      <x:c r="P2" s="7"/>
      <x:c r="Q2" s="7"/>
      <x:c r="R2" s="7"/>
    </x:row>
    <x:row r="4" ht="38" customHeight="1">
      <x:c r="A4" s="16" t="str">
        <x:v>Flag ID</x:v>
      </x:c>
      <x:c r="B4" s="17" t="str">
        <x:v>Claim IDs</x:v>
      </x:c>
      <x:c r="C4" s="17" t="str">
        <x:v>Source IDs</x:v>
      </x:c>
      <x:c r="D4" s="17" t="str">
        <x:v>Topic</x:v>
      </x:c>
      <x:c r="E4" s="17" t="str">
        <x:v>Primary classification</x:v>
      </x:c>
      <x:c r="F4" s="17" t="str">
        <x:v>Secondary classifications</x:v>
      </x:c>
      <x:c r="G4" s="17" t="str">
        <x:v>Concise rationale</x:v>
      </x:c>
      <x:c r="H4" s="17" t="str">
        <x:v>Both claims may coexist</x:v>
      </x:c>
      <x:c r="I4" s="17" t="str">
        <x:v>Source priority</x:v>
      </x:c>
      <x:c r="J4" s="17" t="str">
        <x:v>Narrow wording</x:v>
      </x:c>
      <x:c r="K4" s="17" t="str">
        <x:v>Recommended human action</x:v>
      </x:c>
      <x:c r="L4" s="17" t="str">
        <x:v>Original condition difference</x:v>
      </x:c>
      <x:c r="M4" s="17" t="str">
        <x:v>Original disease-state difference</x:v>
      </x:c>
      <x:c r="N4" s="17" t="str">
        <x:v>Original population difference</x:v>
      </x:c>
      <x:c r="O4" s="17" t="str">
        <x:v>Original evidence-level difference</x:v>
      </x:c>
      <x:c r="P4" s="17" t="str">
        <x:v>Original symptom vs inflammation</x:v>
      </x:c>
      <x:c r="Q4" s="17" t="str">
        <x:v>Original regional difference</x:v>
      </x:c>
      <x:c r="R4" s="18" t="str">
        <x:v>Original flag reason</x:v>
      </x:c>
    </x:row>
    <x:row r="5" ht="72" customHeight="1">
      <x:c r="A5" s="26" t="str">
        <x:v>CON-001</x:v>
      </x:c>
      <x:c r="B5" s="26" t="str">
        <x:v>CLM-001; CLM-002</x:v>
      </x:c>
      <x:c r="C5" s="26" t="str">
        <x:v>SRC-001; SRC-001</x:v>
      </x:c>
      <x:c r="D5" s="26" t="str">
        <x:v>core_condition_knowledge</x:v>
      </x:c>
      <x:c r="E5" s="26" t="str">
        <x:v>not_materially_comparable</x:v>
      </x:c>
      <x:c r="F5" s="26" t="str">
        <x:v>different_disease_state</x:v>
      </x:c>
      <x:c r="G5" s="26" t="str">
        <x:v>One or both records are source-methodology/context sentences rather than competing clinical findings; the shared broad topic created a false-positive comparison.</x:v>
      </x:c>
      <x:c r="H5" s="26" t="str">
        <x:v>Yes</x:v>
      </x:c>
      <x:c r="I5" s="26" t="str">
        <x:v>No priority—review each claim independently</x:v>
      </x:c>
      <x:c r="J5" s="26" t="str">
        <x:v>Yes</x:v>
      </x:c>
      <x:c r="K5" s="26" t="str">
        <x:v>Do not adjudicate this as a true conflict. Reject non-substantive claims or review revised wording independently.</x:v>
      </x:c>
      <x:c r="L5" s="26" t="str">
        <x:v>No</x:v>
      </x:c>
      <x:c r="M5" s="26" t="str">
        <x:v>Yes</x:v>
      </x:c>
      <x:c r="N5" s="26" t="str">
        <x:v>Review source records</x:v>
      </x:c>
      <x:c r="O5" s="26" t="str">
        <x:v>No</x:v>
      </x:c>
      <x:c r="P5" s="26" t="str">
        <x:v>No</x:v>
      </x:c>
      <x:c r="Q5" s="26" t="str">
        <x:v>Review source-level regional applicability</x:v>
      </x:c>
      <x:c r="R5" s="26" t="str">
        <x:v>Potentially non-comparable findings; do not silently merge.</x:v>
      </x:c>
    </x:row>
    <x:row r="6" ht="72" customHeight="1">
      <x:c r="A6" s="27" t="str">
        <x:v>CON-002</x:v>
      </x:c>
      <x:c r="B6" s="27" t="str">
        <x:v>CLM-001; CLM-012</x:v>
      </x:c>
      <x:c r="C6" s="27" t="str">
        <x:v>SRC-001; SRC-003</x:v>
      </x:c>
      <x:c r="D6" s="27" t="str">
        <x:v>core_condition_knowledge</x:v>
      </x:c>
      <x:c r="E6" s="27" t="str">
        <x:v>not_materially_comparable</x:v>
      </x:c>
      <x:c r="F6" s="27" t="str">
        <x:v>different_condition</x:v>
      </x:c>
      <x:c r="G6" s="27" t="str">
        <x:v>One or both records are source-methodology/context sentences rather than competing clinical findings; the shared broad topic created a false-positive comparison.</x:v>
      </x:c>
      <x:c r="H6" s="27" t="str">
        <x:v>Yes</x:v>
      </x:c>
      <x:c r="I6" s="27" t="str">
        <x:v>No priority—review each claim independently</x:v>
      </x:c>
      <x:c r="J6" s="27" t="str">
        <x:v>Yes</x:v>
      </x:c>
      <x:c r="K6" s="27" t="str">
        <x:v>Do not adjudicate this as a true conflict. Reject non-substantive claims or review revised wording independently.</x:v>
      </x:c>
      <x:c r="L6" s="27" t="str">
        <x:v>Yes</x:v>
      </x:c>
      <x:c r="M6" s="27" t="str">
        <x:v>No</x:v>
      </x:c>
      <x:c r="N6" s="27" t="str">
        <x:v>Review source records</x:v>
      </x:c>
      <x:c r="O6" s="27" t="str">
        <x:v>No</x:v>
      </x:c>
      <x:c r="P6" s="27" t="str">
        <x:v>No</x:v>
      </x:c>
      <x:c r="Q6" s="27" t="str">
        <x:v>Review source-level regional applicability</x:v>
      </x:c>
      <x:c r="R6" s="27" t="str">
        <x:v>Potentially non-comparable findings; do not silently merge.</x:v>
      </x:c>
    </x:row>
    <x:row r="7" ht="72" customHeight="1">
      <x:c r="A7" s="27" t="str">
        <x:v>CON-003</x:v>
      </x:c>
      <x:c r="B7" s="27" t="str">
        <x:v>CLM-001; CLM-016</x:v>
      </x:c>
      <x:c r="C7" s="27" t="str">
        <x:v>SRC-001; SRC-004</x:v>
      </x:c>
      <x:c r="D7" s="27" t="str">
        <x:v>core_condition_knowledge</x:v>
      </x:c>
      <x:c r="E7" s="27" t="str">
        <x:v>not_materially_comparable</x:v>
      </x:c>
      <x:c r="F7" s="27" t="str">
        <x:v>different_condition; guideline_vs_primary_study</x:v>
      </x:c>
      <x:c r="G7" s="27" t="str">
        <x:v>One or both records are source-methodology/context sentences rather than competing clinical findings; the shared broad topic created a false-positive comparison.</x:v>
      </x:c>
      <x:c r="H7" s="27" t="str">
        <x:v>Yes</x:v>
      </x:c>
      <x:c r="I7" s="27" t="str">
        <x:v>No priority—review each claim independently</x:v>
      </x:c>
      <x:c r="J7" s="27" t="str">
        <x:v>Yes</x:v>
      </x:c>
      <x:c r="K7" s="27" t="str">
        <x:v>Do not adjudicate this as a true conflict. Reject non-substantive claims or review revised wording independently.</x:v>
      </x:c>
      <x:c r="L7" s="27" t="str">
        <x:v>Yes</x:v>
      </x:c>
      <x:c r="M7" s="27" t="str">
        <x:v>No</x:v>
      </x:c>
      <x:c r="N7" s="27" t="str">
        <x:v>Review source records</x:v>
      </x:c>
      <x:c r="O7" s="27" t="str">
        <x:v>Yes</x:v>
      </x:c>
      <x:c r="P7" s="27" t="str">
        <x:v>No</x:v>
      </x:c>
      <x:c r="Q7" s="27" t="str">
        <x:v>Review source-level regional applicability</x:v>
      </x:c>
      <x:c r="R7" s="27" t="str">
        <x:v>Potentially non-comparable findings; do not silently merge.</x:v>
      </x:c>
    </x:row>
    <x:row r="8" ht="72" customHeight="1">
      <x:c r="A8" s="27" t="str">
        <x:v>CON-004</x:v>
      </x:c>
      <x:c r="B8" s="27" t="str">
        <x:v>CLM-001; CLM-027</x:v>
      </x:c>
      <x:c r="C8" s="27" t="str">
        <x:v>SRC-001; SRC-007</x:v>
      </x:c>
      <x:c r="D8" s="27" t="str">
        <x:v>core_condition_knowledge</x:v>
      </x:c>
      <x:c r="E8" s="27" t="str">
        <x:v>not_materially_comparable</x:v>
      </x:c>
      <x:c r="F8" s="27" t="str">
        <x:v>different_condition; guideline_vs_primary_study</x:v>
      </x:c>
      <x:c r="G8" s="27" t="str">
        <x:v>One or both records are source-methodology/context sentences rather than competing clinical findings; the shared broad topic created a false-positive comparison.</x:v>
      </x:c>
      <x:c r="H8" s="27" t="str">
        <x:v>Yes</x:v>
      </x:c>
      <x:c r="I8" s="27" t="str">
        <x:v>No priority—review each claim independently</x:v>
      </x:c>
      <x:c r="J8" s="27" t="str">
        <x:v>Yes</x:v>
      </x:c>
      <x:c r="K8" s="27" t="str">
        <x:v>Do not adjudicate this as a true conflict. Reject non-substantive claims or review revised wording independently.</x:v>
      </x:c>
      <x:c r="L8" s="27" t="str">
        <x:v>Yes</x:v>
      </x:c>
      <x:c r="M8" s="27" t="str">
        <x:v>No</x:v>
      </x:c>
      <x:c r="N8" s="27" t="str">
        <x:v>Review source records</x:v>
      </x:c>
      <x:c r="O8" s="27" t="str">
        <x:v>Yes</x:v>
      </x:c>
      <x:c r="P8" s="27" t="str">
        <x:v>No</x:v>
      </x:c>
      <x:c r="Q8" s="27" t="str">
        <x:v>Review source-level regional applicability</x:v>
      </x:c>
      <x:c r="R8" s="27" t="str">
        <x:v>Potentially non-comparable findings; do not silently merge.</x:v>
      </x:c>
    </x:row>
    <x:row r="9" ht="72" customHeight="1">
      <x:c r="A9" s="27" t="str">
        <x:v>CON-005</x:v>
      </x:c>
      <x:c r="B9" s="27" t="str">
        <x:v>CLM-001; CLM-028</x:v>
      </x:c>
      <x:c r="C9" s="27" t="str">
        <x:v>SRC-001; SRC-007</x:v>
      </x:c>
      <x:c r="D9" s="27" t="str">
        <x:v>core_condition_knowledge</x:v>
      </x:c>
      <x:c r="E9" s="27" t="str">
        <x:v>not_materially_comparable</x:v>
      </x:c>
      <x:c r="F9" s="27" t="str">
        <x:v>different_condition; guideline_vs_primary_study</x:v>
      </x:c>
      <x:c r="G9" s="27" t="str">
        <x:v>One or both records are source-methodology/context sentences rather than competing clinical findings; the shared broad topic created a false-positive comparison.</x:v>
      </x:c>
      <x:c r="H9" s="27" t="str">
        <x:v>Yes</x:v>
      </x:c>
      <x:c r="I9" s="27" t="str">
        <x:v>No priority—review each claim independently</x:v>
      </x:c>
      <x:c r="J9" s="27" t="str">
        <x:v>Yes</x:v>
      </x:c>
      <x:c r="K9" s="27" t="str">
        <x:v>Do not adjudicate this as a true conflict. Reject non-substantive claims or review revised wording independently.</x:v>
      </x:c>
      <x:c r="L9" s="27" t="str">
        <x:v>Yes</x:v>
      </x:c>
      <x:c r="M9" s="27" t="str">
        <x:v>No</x:v>
      </x:c>
      <x:c r="N9" s="27" t="str">
        <x:v>Review source records</x:v>
      </x:c>
      <x:c r="O9" s="27" t="str">
        <x:v>Yes</x:v>
      </x:c>
      <x:c r="P9" s="27" t="str">
        <x:v>No</x:v>
      </x:c>
      <x:c r="Q9" s="27" t="str">
        <x:v>Review source-level regional applicability</x:v>
      </x:c>
      <x:c r="R9" s="27" t="str">
        <x:v>Potentially non-comparable findings; do not silently merge.</x:v>
      </x:c>
    </x:row>
    <x:row r="10" ht="72" customHeight="1">
      <x:c r="A10" s="27" t="str">
        <x:v>CON-006</x:v>
      </x:c>
      <x:c r="B10" s="27" t="str">
        <x:v>CLM-001; CLM-045</x:v>
      </x:c>
      <x:c r="C10" s="27" t="str">
        <x:v>SRC-001; SRC-012</x:v>
      </x:c>
      <x:c r="D10" s="27" t="str">
        <x:v>core_condition_knowledge</x:v>
      </x:c>
      <x:c r="E10" s="27" t="str">
        <x:v>not_materially_comparable</x:v>
      </x:c>
      <x:c r="F10" s="27" t="str">
        <x:v>different_condition; guideline_vs_primary_study</x:v>
      </x:c>
      <x:c r="G10" s="27" t="str">
        <x:v>One or both records are source-methodology/context sentences rather than competing clinical findings; the shared broad topic created a false-positive comparison.</x:v>
      </x:c>
      <x:c r="H10" s="27" t="str">
        <x:v>Yes</x:v>
      </x:c>
      <x:c r="I10" s="27" t="str">
        <x:v>No priority—review each claim independently</x:v>
      </x:c>
      <x:c r="J10" s="27" t="str">
        <x:v>Yes</x:v>
      </x:c>
      <x:c r="K10" s="27" t="str">
        <x:v>Do not adjudicate this as a true conflict. Reject non-substantive claims or review revised wording independently.</x:v>
      </x:c>
      <x:c r="L10" s="27" t="str">
        <x:v>Yes</x:v>
      </x:c>
      <x:c r="M10" s="27" t="str">
        <x:v>No</x:v>
      </x:c>
      <x:c r="N10" s="27" t="str">
        <x:v>Review source records</x:v>
      </x:c>
      <x:c r="O10" s="27" t="str">
        <x:v>Yes</x:v>
      </x:c>
      <x:c r="P10" s="27" t="str">
        <x:v>No</x:v>
      </x:c>
      <x:c r="Q10" s="27" t="str">
        <x:v>Review source-level regional applicability</x:v>
      </x:c>
      <x:c r="R10" s="27" t="str">
        <x:v>Potentially non-comparable findings; do not silently merge.</x:v>
      </x:c>
    </x:row>
    <x:row r="11" ht="72" customHeight="1">
      <x:c r="A11" s="27" t="str">
        <x:v>CON-007</x:v>
      </x:c>
      <x:c r="B11" s="27" t="str">
        <x:v>CLM-001; CLM-054</x:v>
      </x:c>
      <x:c r="C11" s="27" t="str">
        <x:v>SRC-001; SRC-014</x:v>
      </x:c>
      <x:c r="D11" s="27" t="str">
        <x:v>core_condition_knowledge</x:v>
      </x:c>
      <x:c r="E11" s="27" t="str">
        <x:v>not_materially_comparable</x:v>
      </x:c>
      <x:c r="F11" s="27" t="str">
        <x:v>different_condition; guideline_vs_primary_study</x:v>
      </x:c>
      <x:c r="G11" s="27" t="str">
        <x:v>One or both records are source-methodology/context sentences rather than competing clinical findings; the shared broad topic created a false-positive comparison.</x:v>
      </x:c>
      <x:c r="H11" s="27" t="str">
        <x:v>Yes</x:v>
      </x:c>
      <x:c r="I11" s="27" t="str">
        <x:v>No priority—review each claim independently</x:v>
      </x:c>
      <x:c r="J11" s="27" t="str">
        <x:v>Yes</x:v>
      </x:c>
      <x:c r="K11" s="27" t="str">
        <x:v>Do not adjudicate this as a true conflict. Reject non-substantive claims or review revised wording independently.</x:v>
      </x:c>
      <x:c r="L11" s="27" t="str">
        <x:v>Yes</x:v>
      </x:c>
      <x:c r="M11" s="27" t="str">
        <x:v>No</x:v>
      </x:c>
      <x:c r="N11" s="27" t="str">
        <x:v>Review source records</x:v>
      </x:c>
      <x:c r="O11" s="27" t="str">
        <x:v>Yes</x:v>
      </x:c>
      <x:c r="P11" s="27" t="str">
        <x:v>No</x:v>
      </x:c>
      <x:c r="Q11" s="27" t="str">
        <x:v>Review source-level regional applicability</x:v>
      </x:c>
      <x:c r="R11" s="27" t="str">
        <x:v>Potentially non-comparable findings; do not silently merge.</x:v>
      </x:c>
    </x:row>
    <x:row r="12" ht="72" customHeight="1">
      <x:c r="A12" s="27" t="str">
        <x:v>CON-008</x:v>
      </x:c>
      <x:c r="B12" s="27" t="str">
        <x:v>CLM-001; CLM-055</x:v>
      </x:c>
      <x:c r="C12" s="27" t="str">
        <x:v>SRC-001; SRC-014</x:v>
      </x:c>
      <x:c r="D12" s="27" t="str">
        <x:v>core_condition_knowledge</x:v>
      </x:c>
      <x:c r="E12" s="27" t="str">
        <x:v>not_materially_comparable</x:v>
      </x:c>
      <x:c r="F12" s="27" t="str">
        <x:v>different_condition; guideline_vs_primary_study</x:v>
      </x:c>
      <x:c r="G12" s="27" t="str">
        <x:v>One or both records are source-methodology/context sentences rather than competing clinical findings; the shared broad topic created a false-positive comparison.</x:v>
      </x:c>
      <x:c r="H12" s="27" t="str">
        <x:v>Yes</x:v>
      </x:c>
      <x:c r="I12" s="27" t="str">
        <x:v>No priority—review each claim independently</x:v>
      </x:c>
      <x:c r="J12" s="27" t="str">
        <x:v>Yes</x:v>
      </x:c>
      <x:c r="K12" s="27" t="str">
        <x:v>Do not adjudicate this as a true conflict. Reject non-substantive claims or review revised wording independently.</x:v>
      </x:c>
      <x:c r="L12" s="27" t="str">
        <x:v>Yes</x:v>
      </x:c>
      <x:c r="M12" s="27" t="str">
        <x:v>No</x:v>
      </x:c>
      <x:c r="N12" s="27" t="str">
        <x:v>Review source records</x:v>
      </x:c>
      <x:c r="O12" s="27" t="str">
        <x:v>Yes</x:v>
      </x:c>
      <x:c r="P12" s="27" t="str">
        <x:v>No</x:v>
      </x:c>
      <x:c r="Q12" s="27" t="str">
        <x:v>Review source-level regional applicability</x:v>
      </x:c>
      <x:c r="R12" s="27" t="str">
        <x:v>Potentially non-comparable findings; do not silently merge.</x:v>
      </x:c>
    </x:row>
    <x:row r="13" ht="72" customHeight="1">
      <x:c r="A13" s="27" t="str">
        <x:v>CON-009</x:v>
      </x:c>
      <x:c r="B13" s="27" t="str">
        <x:v>CLM-001; CLM-058</x:v>
      </x:c>
      <x:c r="C13" s="27" t="str">
        <x:v>SRC-001; SRC-015</x:v>
      </x:c>
      <x:c r="D13" s="27" t="str">
        <x:v>core_condition_knowledge</x:v>
      </x:c>
      <x:c r="E13" s="27" t="str">
        <x:v>not_materially_comparable</x:v>
      </x:c>
      <x:c r="F13" s="27" t="str">
        <x:v>different_condition; guideline_vs_primary_study</x:v>
      </x:c>
      <x:c r="G13" s="27" t="str">
        <x:v>One or both records are source-methodology/context sentences rather than competing clinical findings; the shared broad topic created a false-positive comparison.</x:v>
      </x:c>
      <x:c r="H13" s="27" t="str">
        <x:v>Yes</x:v>
      </x:c>
      <x:c r="I13" s="27" t="str">
        <x:v>No priority—review each claim independently</x:v>
      </x:c>
      <x:c r="J13" s="27" t="str">
        <x:v>Yes</x:v>
      </x:c>
      <x:c r="K13" s="27" t="str">
        <x:v>Do not adjudicate this as a true conflict. Reject non-substantive claims or review revised wording independently.</x:v>
      </x:c>
      <x:c r="L13" s="27" t="str">
        <x:v>Yes</x:v>
      </x:c>
      <x:c r="M13" s="27" t="str">
        <x:v>No</x:v>
      </x:c>
      <x:c r="N13" s="27" t="str">
        <x:v>Review source records</x:v>
      </x:c>
      <x:c r="O13" s="27" t="str">
        <x:v>Yes</x:v>
      </x:c>
      <x:c r="P13" s="27" t="str">
        <x:v>No</x:v>
      </x:c>
      <x:c r="Q13" s="27" t="str">
        <x:v>Review source-level regional applicability</x:v>
      </x:c>
      <x:c r="R13" s="27" t="str">
        <x:v>Potentially non-comparable findings; do not silently merge.</x:v>
      </x:c>
    </x:row>
    <x:row r="14" ht="72" customHeight="1">
      <x:c r="A14" s="27" t="str">
        <x:v>CON-010</x:v>
      </x:c>
      <x:c r="B14" s="27" t="str">
        <x:v>CLM-001; CLM-059</x:v>
      </x:c>
      <x:c r="C14" s="27" t="str">
        <x:v>SRC-001; SRC-015</x:v>
      </x:c>
      <x:c r="D14" s="27" t="str">
        <x:v>core_condition_knowledge</x:v>
      </x:c>
      <x:c r="E14" s="27" t="str">
        <x:v>not_materially_comparable</x:v>
      </x:c>
      <x:c r="F14" s="27" t="str">
        <x:v>different_condition; guideline_vs_primary_study</x:v>
      </x:c>
      <x:c r="G14" s="27" t="str">
        <x:v>One or both records are source-methodology/context sentences rather than competing clinical findings; the shared broad topic created a false-positive comparison.</x:v>
      </x:c>
      <x:c r="H14" s="27" t="str">
        <x:v>Yes</x:v>
      </x:c>
      <x:c r="I14" s="27" t="str">
        <x:v>No priority—review each claim independently</x:v>
      </x:c>
      <x:c r="J14" s="27" t="str">
        <x:v>Yes</x:v>
      </x:c>
      <x:c r="K14" s="27" t="str">
        <x:v>Do not adjudicate this as a true conflict. Reject non-substantive claims or review revised wording independently.</x:v>
      </x:c>
      <x:c r="L14" s="27" t="str">
        <x:v>Yes</x:v>
      </x:c>
      <x:c r="M14" s="27" t="str">
        <x:v>No</x:v>
      </x:c>
      <x:c r="N14" s="27" t="str">
        <x:v>Review source records</x:v>
      </x:c>
      <x:c r="O14" s="27" t="str">
        <x:v>Yes</x:v>
      </x:c>
      <x:c r="P14" s="27" t="str">
        <x:v>No</x:v>
      </x:c>
      <x:c r="Q14" s="27" t="str">
        <x:v>Review source-level regional applicability</x:v>
      </x:c>
      <x:c r="R14" s="27" t="str">
        <x:v>Potentially non-comparable findings; do not silently merge.</x:v>
      </x:c>
    </x:row>
    <x:row r="15" ht="72" customHeight="1">
      <x:c r="A15" s="27" t="str">
        <x:v>CON-011</x:v>
      </x:c>
      <x:c r="B15" s="27" t="str">
        <x:v>CLM-001; CLM-060</x:v>
      </x:c>
      <x:c r="C15" s="27" t="str">
        <x:v>SRC-001; SRC-015</x:v>
      </x:c>
      <x:c r="D15" s="27" t="str">
        <x:v>core_condition_knowledge</x:v>
      </x:c>
      <x:c r="E15" s="27" t="str">
        <x:v>not_materially_comparable</x:v>
      </x:c>
      <x:c r="F15" s="27" t="str">
        <x:v>different_condition; guideline_vs_primary_study</x:v>
      </x:c>
      <x:c r="G15" s="27" t="str">
        <x:v>One or both records are source-methodology/context sentences rather than competing clinical findings; the shared broad topic created a false-positive comparison.</x:v>
      </x:c>
      <x:c r="H15" s="27" t="str">
        <x:v>Yes</x:v>
      </x:c>
      <x:c r="I15" s="27" t="str">
        <x:v>No priority—review each claim independently</x:v>
      </x:c>
      <x:c r="J15" s="27" t="str">
        <x:v>Yes</x:v>
      </x:c>
      <x:c r="K15" s="27" t="str">
        <x:v>Do not adjudicate this as a true conflict. Reject non-substantive claims or review revised wording independently.</x:v>
      </x:c>
      <x:c r="L15" s="27" t="str">
        <x:v>Yes</x:v>
      </x:c>
      <x:c r="M15" s="27" t="str">
        <x:v>No</x:v>
      </x:c>
      <x:c r="N15" s="27" t="str">
        <x:v>Review source records</x:v>
      </x:c>
      <x:c r="O15" s="27" t="str">
        <x:v>Yes</x:v>
      </x:c>
      <x:c r="P15" s="27" t="str">
        <x:v>No</x:v>
      </x:c>
      <x:c r="Q15" s="27" t="str">
        <x:v>Review source-level regional applicability</x:v>
      </x:c>
      <x:c r="R15" s="27" t="str">
        <x:v>Potentially non-comparable findings; do not silently merge.</x:v>
      </x:c>
    </x:row>
    <x:row r="16" ht="72" customHeight="1">
      <x:c r="A16" s="27" t="str">
        <x:v>CON-012</x:v>
      </x:c>
      <x:c r="B16" s="27" t="str">
        <x:v>CLM-001; CLM-063</x:v>
      </x:c>
      <x:c r="C16" s="27" t="str">
        <x:v>SRC-001; SRC-016</x:v>
      </x:c>
      <x:c r="D16" s="27" t="str">
        <x:v>core_condition_knowledge</x:v>
      </x:c>
      <x:c r="E16" s="27" t="str">
        <x:v>not_materially_comparable</x:v>
      </x:c>
      <x:c r="F16" s="27" t="str">
        <x:v>different_condition; guideline_vs_primary_study</x:v>
      </x:c>
      <x:c r="G16" s="27" t="str">
        <x:v>One or both records are source-methodology/context sentences rather than competing clinical findings; the shared broad topic created a false-positive comparison.</x:v>
      </x:c>
      <x:c r="H16" s="27" t="str">
        <x:v>Yes</x:v>
      </x:c>
      <x:c r="I16" s="27" t="str">
        <x:v>No priority—review each claim independently</x:v>
      </x:c>
      <x:c r="J16" s="27" t="str">
        <x:v>Yes</x:v>
      </x:c>
      <x:c r="K16" s="27" t="str">
        <x:v>Do not adjudicate this as a true conflict. Reject non-substantive claims or review revised wording independently.</x:v>
      </x:c>
      <x:c r="L16" s="27" t="str">
        <x:v>Yes</x:v>
      </x:c>
      <x:c r="M16" s="27" t="str">
        <x:v>No</x:v>
      </x:c>
      <x:c r="N16" s="27" t="str">
        <x:v>Review source records</x:v>
      </x:c>
      <x:c r="O16" s="27" t="str">
        <x:v>Yes</x:v>
      </x:c>
      <x:c r="P16" s="27" t="str">
        <x:v>No</x:v>
      </x:c>
      <x:c r="Q16" s="27" t="str">
        <x:v>Review source-level regional applicability</x:v>
      </x:c>
      <x:c r="R16" s="27" t="str">
        <x:v>Potentially non-comparable findings; do not silently merge.</x:v>
      </x:c>
    </x:row>
    <x:row r="17" ht="72" customHeight="1">
      <x:c r="A17" s="27" t="str">
        <x:v>CON-013</x:v>
      </x:c>
      <x:c r="B17" s="27" t="str">
        <x:v>CLM-001; CLM-067</x:v>
      </x:c>
      <x:c r="C17" s="27" t="str">
        <x:v>SRC-001; SRC-017</x:v>
      </x:c>
      <x:c r="D17" s="27" t="str">
        <x:v>core_condition_knowledge</x:v>
      </x:c>
      <x:c r="E17" s="27" t="str">
        <x:v>not_materially_comparable</x:v>
      </x:c>
      <x:c r="F17" s="27" t="str">
        <x:v>different_condition; different_disease_state; guideline_vs_primary_study</x:v>
      </x:c>
      <x:c r="G17" s="27" t="str">
        <x:v>One or both records are source-methodology/context sentences rather than competing clinical findings; the shared broad topic created a false-positive comparison.</x:v>
      </x:c>
      <x:c r="H17" s="27" t="str">
        <x:v>Yes</x:v>
      </x:c>
      <x:c r="I17" s="27" t="str">
        <x:v>No priority—review each claim independently</x:v>
      </x:c>
      <x:c r="J17" s="27" t="str">
        <x:v>Yes</x:v>
      </x:c>
      <x:c r="K17" s="27" t="str">
        <x:v>Do not adjudicate this as a true conflict. Reject non-substantive claims or review revised wording independently.</x:v>
      </x:c>
      <x:c r="L17" s="27" t="str">
        <x:v>Yes</x:v>
      </x:c>
      <x:c r="M17" s="27" t="str">
        <x:v>Yes</x:v>
      </x:c>
      <x:c r="N17" s="27" t="str">
        <x:v>Review source records</x:v>
      </x:c>
      <x:c r="O17" s="27" t="str">
        <x:v>Yes</x:v>
      </x:c>
      <x:c r="P17" s="27" t="str">
        <x:v>No</x:v>
      </x:c>
      <x:c r="Q17" s="27" t="str">
        <x:v>Review source-level regional applicability</x:v>
      </x:c>
      <x:c r="R17" s="27" t="str">
        <x:v>Potentially non-comparable findings; do not silently merge.</x:v>
      </x:c>
    </x:row>
    <x:row r="18" ht="72" customHeight="1">
      <x:c r="A18" s="27" t="str">
        <x:v>CON-014</x:v>
      </x:c>
      <x:c r="B18" s="27" t="str">
        <x:v>CLM-001; CLM-068</x:v>
      </x:c>
      <x:c r="C18" s="27" t="str">
        <x:v>SRC-001; SRC-017</x:v>
      </x:c>
      <x:c r="D18" s="27" t="str">
        <x:v>core_condition_knowledge</x:v>
      </x:c>
      <x:c r="E18" s="27" t="str">
        <x:v>not_materially_comparable</x:v>
      </x:c>
      <x:c r="F18" s="27" t="str">
        <x:v>different_condition; guideline_vs_primary_study</x:v>
      </x:c>
      <x:c r="G18" s="27" t="str">
        <x:v>One or both records are source-methodology/context sentences rather than competing clinical findings; the shared broad topic created a false-positive comparison.</x:v>
      </x:c>
      <x:c r="H18" s="27" t="str">
        <x:v>Yes</x:v>
      </x:c>
      <x:c r="I18" s="27" t="str">
        <x:v>No priority—review each claim independently</x:v>
      </x:c>
      <x:c r="J18" s="27" t="str">
        <x:v>Yes</x:v>
      </x:c>
      <x:c r="K18" s="27" t="str">
        <x:v>Do not adjudicate this as a true conflict. Reject non-substantive claims or review revised wording independently.</x:v>
      </x:c>
      <x:c r="L18" s="27" t="str">
        <x:v>Yes</x:v>
      </x:c>
      <x:c r="M18" s="27" t="str">
        <x:v>No</x:v>
      </x:c>
      <x:c r="N18" s="27" t="str">
        <x:v>Review source records</x:v>
      </x:c>
      <x:c r="O18" s="27" t="str">
        <x:v>Yes</x:v>
      </x:c>
      <x:c r="P18" s="27" t="str">
        <x:v>No</x:v>
      </x:c>
      <x:c r="Q18" s="27" t="str">
        <x:v>Review source-level regional applicability</x:v>
      </x:c>
      <x:c r="R18" s="27" t="str">
        <x:v>Potentially non-comparable findings; do not silently merge.</x:v>
      </x:c>
    </x:row>
    <x:row r="19" ht="72" customHeight="1">
      <x:c r="A19" s="27" t="str">
        <x:v>CON-015</x:v>
      </x:c>
      <x:c r="B19" s="27" t="str">
        <x:v>CLM-001; CLM-081</x:v>
      </x:c>
      <x:c r="C19" s="27" t="str">
        <x:v>SRC-001; SRC-021</x:v>
      </x:c>
      <x:c r="D19" s="27" t="str">
        <x:v>core_condition_knowledge</x:v>
      </x:c>
      <x:c r="E19" s="27" t="str">
        <x:v>not_materially_comparable</x:v>
      </x:c>
      <x:c r="F19" s="27" t="str">
        <x:v>different_condition; guideline_vs_primary_study</x:v>
      </x:c>
      <x:c r="G19" s="27" t="str">
        <x:v>One or both records are source-methodology/context sentences rather than competing clinical findings; the shared broad topic created a false-positive comparison.</x:v>
      </x:c>
      <x:c r="H19" s="27" t="str">
        <x:v>Yes</x:v>
      </x:c>
      <x:c r="I19" s="27" t="str">
        <x:v>No priority—review each claim independently</x:v>
      </x:c>
      <x:c r="J19" s="27" t="str">
        <x:v>Yes</x:v>
      </x:c>
      <x:c r="K19" s="27" t="str">
        <x:v>Do not adjudicate this as a true conflict. Reject non-substantive claims or review revised wording independently.</x:v>
      </x:c>
      <x:c r="L19" s="27" t="str">
        <x:v>Yes</x:v>
      </x:c>
      <x:c r="M19" s="27" t="str">
        <x:v>No</x:v>
      </x:c>
      <x:c r="N19" s="27" t="str">
        <x:v>Review source records</x:v>
      </x:c>
      <x:c r="O19" s="27" t="str">
        <x:v>Yes</x:v>
      </x:c>
      <x:c r="P19" s="27" t="str">
        <x:v>No</x:v>
      </x:c>
      <x:c r="Q19" s="27" t="str">
        <x:v>Review source-level regional applicability</x:v>
      </x:c>
      <x:c r="R19" s="27" t="str">
        <x:v>Potentially non-comparable findings; do not silently merge.</x:v>
      </x:c>
    </x:row>
    <x:row r="20" ht="72" customHeight="1">
      <x:c r="A20" s="27" t="str">
        <x:v>CON-016</x:v>
      </x:c>
      <x:c r="B20" s="27" t="str">
        <x:v>CLM-001; CLM-082</x:v>
      </x:c>
      <x:c r="C20" s="27" t="str">
        <x:v>SRC-001; SRC-021</x:v>
      </x:c>
      <x:c r="D20" s="27" t="str">
        <x:v>core_condition_knowledge</x:v>
      </x:c>
      <x:c r="E20" s="27" t="str">
        <x:v>not_materially_comparable</x:v>
      </x:c>
      <x:c r="F20" s="27" t="str">
        <x:v>different_condition; guideline_vs_primary_study</x:v>
      </x:c>
      <x:c r="G20" s="27" t="str">
        <x:v>One or both records are source-methodology/context sentences rather than competing clinical findings; the shared broad topic created a false-positive comparison.</x:v>
      </x:c>
      <x:c r="H20" s="27" t="str">
        <x:v>Yes</x:v>
      </x:c>
      <x:c r="I20" s="27" t="str">
        <x:v>No priority—review each claim independently</x:v>
      </x:c>
      <x:c r="J20" s="27" t="str">
        <x:v>Yes</x:v>
      </x:c>
      <x:c r="K20" s="27" t="str">
        <x:v>Do not adjudicate this as a true conflict. Reject non-substantive claims or review revised wording independently.</x:v>
      </x:c>
      <x:c r="L20" s="27" t="str">
        <x:v>Yes</x:v>
      </x:c>
      <x:c r="M20" s="27" t="str">
        <x:v>No</x:v>
      </x:c>
      <x:c r="N20" s="27" t="str">
        <x:v>Review source records</x:v>
      </x:c>
      <x:c r="O20" s="27" t="str">
        <x:v>Yes</x:v>
      </x:c>
      <x:c r="P20" s="27" t="str">
        <x:v>No</x:v>
      </x:c>
      <x:c r="Q20" s="27" t="str">
        <x:v>Review source-level regional applicability</x:v>
      </x:c>
      <x:c r="R20" s="27" t="str">
        <x:v>Potentially non-comparable findings; do not silently merge.</x:v>
      </x:c>
    </x:row>
    <x:row r="21" ht="72" customHeight="1">
      <x:c r="A21" s="27" t="str">
        <x:v>CON-017</x:v>
      </x:c>
      <x:c r="B21" s="27" t="str">
        <x:v>CLM-001; CLM-084</x:v>
      </x:c>
      <x:c r="C21" s="27" t="str">
        <x:v>SRC-001; SRC-022</x:v>
      </x:c>
      <x:c r="D21" s="27" t="str">
        <x:v>core_condition_knowledge</x:v>
      </x:c>
      <x:c r="E21" s="27" t="str">
        <x:v>not_materially_comparable</x:v>
      </x:c>
      <x:c r="F21" s="27" t="str">
        <x:v>different_condition</x:v>
      </x:c>
      <x:c r="G21" s="27" t="str">
        <x:v>One or both records are source-methodology/context sentences rather than competing clinical findings; the shared broad topic created a false-positive comparison.</x:v>
      </x:c>
      <x:c r="H21" s="27" t="str">
        <x:v>Yes</x:v>
      </x:c>
      <x:c r="I21" s="27" t="str">
        <x:v>No priority—review each claim independently</x:v>
      </x:c>
      <x:c r="J21" s="27" t="str">
        <x:v>Yes</x:v>
      </x:c>
      <x:c r="K21" s="27" t="str">
        <x:v>Do not adjudicate this as a true conflict. Reject non-substantive claims or review revised wording independently.</x:v>
      </x:c>
      <x:c r="L21" s="27" t="str">
        <x:v>Yes</x:v>
      </x:c>
      <x:c r="M21" s="27" t="str">
        <x:v>No</x:v>
      </x:c>
      <x:c r="N21" s="27" t="str">
        <x:v>Review source records</x:v>
      </x:c>
      <x:c r="O21" s="27" t="str">
        <x:v>No</x:v>
      </x:c>
      <x:c r="P21" s="27" t="str">
        <x:v>No</x:v>
      </x:c>
      <x:c r="Q21" s="27" t="str">
        <x:v>Review source-level regional applicability</x:v>
      </x:c>
      <x:c r="R21" s="27" t="str">
        <x:v>Potentially non-comparable findings; do not silently merge.</x:v>
      </x:c>
    </x:row>
    <x:row r="22" ht="72" customHeight="1">
      <x:c r="A22" s="27" t="str">
        <x:v>CON-018</x:v>
      </x:c>
      <x:c r="B22" s="27" t="str">
        <x:v>CLM-001; CLM-085</x:v>
      </x:c>
      <x:c r="C22" s="27" t="str">
        <x:v>SRC-001; SRC-022</x:v>
      </x:c>
      <x:c r="D22" s="27" t="str">
        <x:v>core_condition_knowledge</x:v>
      </x:c>
      <x:c r="E22" s="27" t="str">
        <x:v>not_materially_comparable</x:v>
      </x:c>
      <x:c r="F22" s="27" t="str">
        <x:v>different_condition</x:v>
      </x:c>
      <x:c r="G22" s="27" t="str">
        <x:v>One or both records are source-methodology/context sentences rather than competing clinical findings; the shared broad topic created a false-positive comparison.</x:v>
      </x:c>
      <x:c r="H22" s="27" t="str">
        <x:v>Yes</x:v>
      </x:c>
      <x:c r="I22" s="27" t="str">
        <x:v>No priority—review each claim independently</x:v>
      </x:c>
      <x:c r="J22" s="27" t="str">
        <x:v>Yes</x:v>
      </x:c>
      <x:c r="K22" s="27" t="str">
        <x:v>Do not adjudicate this as a true conflict. Reject non-substantive claims or review revised wording independently.</x:v>
      </x:c>
      <x:c r="L22" s="27" t="str">
        <x:v>Yes</x:v>
      </x:c>
      <x:c r="M22" s="27" t="str">
        <x:v>No</x:v>
      </x:c>
      <x:c r="N22" s="27" t="str">
        <x:v>Review source records</x:v>
      </x:c>
      <x:c r="O22" s="27" t="str">
        <x:v>No</x:v>
      </x:c>
      <x:c r="P22" s="27" t="str">
        <x:v>No</x:v>
      </x:c>
      <x:c r="Q22" s="27" t="str">
        <x:v>Review source-level regional applicability</x:v>
      </x:c>
      <x:c r="R22" s="27" t="str">
        <x:v>Potentially non-comparable findings; do not silently merge.</x:v>
      </x:c>
    </x:row>
    <x:row r="23" ht="72" customHeight="1">
      <x:c r="A23" s="27" t="str">
        <x:v>CON-019</x:v>
      </x:c>
      <x:c r="B23" s="27" t="str">
        <x:v>CLM-001; CLM-089</x:v>
      </x:c>
      <x:c r="C23" s="27" t="str">
        <x:v>SRC-001; SRC-023</x:v>
      </x:c>
      <x:c r="D23" s="27" t="str">
        <x:v>core_condition_knowledge</x:v>
      </x:c>
      <x:c r="E23" s="27" t="str">
        <x:v>not_materially_comparable</x:v>
      </x:c>
      <x:c r="F23" s="27" t="str">
        <x:v>different_condition; guideline_vs_primary_study</x:v>
      </x:c>
      <x:c r="G23" s="27" t="str">
        <x:v>One or both records are source-methodology/context sentences rather than competing clinical findings; the shared broad topic created a false-positive comparison.</x:v>
      </x:c>
      <x:c r="H23" s="27" t="str">
        <x:v>Yes</x:v>
      </x:c>
      <x:c r="I23" s="27" t="str">
        <x:v>No priority—review each claim independently</x:v>
      </x:c>
      <x:c r="J23" s="27" t="str">
        <x:v>Yes</x:v>
      </x:c>
      <x:c r="K23" s="27" t="str">
        <x:v>Do not adjudicate this as a true conflict. Reject non-substantive claims or review revised wording independently.</x:v>
      </x:c>
      <x:c r="L23" s="27" t="str">
        <x:v>Yes</x:v>
      </x:c>
      <x:c r="M23" s="27" t="str">
        <x:v>No</x:v>
      </x:c>
      <x:c r="N23" s="27" t="str">
        <x:v>Review source records</x:v>
      </x:c>
      <x:c r="O23" s="27" t="str">
        <x:v>Yes</x:v>
      </x:c>
      <x:c r="P23" s="27" t="str">
        <x:v>No</x:v>
      </x:c>
      <x:c r="Q23" s="27" t="str">
        <x:v>Review source-level regional applicability</x:v>
      </x:c>
      <x:c r="R23" s="27" t="str">
        <x:v>Potentially non-comparable findings; do not silently merge.</x:v>
      </x:c>
    </x:row>
    <x:row r="24" ht="72" customHeight="1">
      <x:c r="A24" s="27" t="str">
        <x:v>CON-020</x:v>
      </x:c>
      <x:c r="B24" s="27" t="str">
        <x:v>CLM-001; CLM-090</x:v>
      </x:c>
      <x:c r="C24" s="27" t="str">
        <x:v>SRC-001; SRC-024</x:v>
      </x:c>
      <x:c r="D24" s="27" t="str">
        <x:v>core_condition_knowledge</x:v>
      </x:c>
      <x:c r="E24" s="27" t="str">
        <x:v>not_materially_comparable</x:v>
      </x:c>
      <x:c r="F24" s="27" t="str">
        <x:v>different_condition; guideline_vs_primary_study</x:v>
      </x:c>
      <x:c r="G24" s="27" t="str">
        <x:v>One or both records are source-methodology/context sentences rather than competing clinical findings; the shared broad topic created a false-positive comparison.</x:v>
      </x:c>
      <x:c r="H24" s="27" t="str">
        <x:v>Yes</x:v>
      </x:c>
      <x:c r="I24" s="27" t="str">
        <x:v>No priority—review each claim independently</x:v>
      </x:c>
      <x:c r="J24" s="27" t="str">
        <x:v>Yes</x:v>
      </x:c>
      <x:c r="K24" s="27" t="str">
        <x:v>Do not adjudicate this as a true conflict. Reject non-substantive claims or review revised wording independently.</x:v>
      </x:c>
      <x:c r="L24" s="27" t="str">
        <x:v>Yes</x:v>
      </x:c>
      <x:c r="M24" s="27" t="str">
        <x:v>No</x:v>
      </x:c>
      <x:c r="N24" s="27" t="str">
        <x:v>Review source records</x:v>
      </x:c>
      <x:c r="O24" s="27" t="str">
        <x:v>Yes</x:v>
      </x:c>
      <x:c r="P24" s="27" t="str">
        <x:v>No</x:v>
      </x:c>
      <x:c r="Q24" s="27" t="str">
        <x:v>Review source-level regional applicability</x:v>
      </x:c>
      <x:c r="R24" s="27" t="str">
        <x:v>Potentially non-comparable findings; do not silently merge.</x:v>
      </x:c>
    </x:row>
    <x:row r="25" ht="72" customHeight="1">
      <x:c r="A25" s="27" t="str">
        <x:v>CON-021</x:v>
      </x:c>
      <x:c r="B25" s="27" t="str">
        <x:v>CLM-001; CLM-091</x:v>
      </x:c>
      <x:c r="C25" s="27" t="str">
        <x:v>SRC-001; SRC-024</x:v>
      </x:c>
      <x:c r="D25" s="27" t="str">
        <x:v>core_condition_knowledge</x:v>
      </x:c>
      <x:c r="E25" s="27" t="str">
        <x:v>not_materially_comparable</x:v>
      </x:c>
      <x:c r="F25" s="27" t="str">
        <x:v>different_condition; different_disease_state; guideline_vs_primary_study</x:v>
      </x:c>
      <x:c r="G25" s="27" t="str">
        <x:v>One or both records are source-methodology/context sentences rather than competing clinical findings; the shared broad topic created a false-positive comparison.</x:v>
      </x:c>
      <x:c r="H25" s="27" t="str">
        <x:v>Yes</x:v>
      </x:c>
      <x:c r="I25" s="27" t="str">
        <x:v>No priority—review each claim independently</x:v>
      </x:c>
      <x:c r="J25" s="27" t="str">
        <x:v>Yes</x:v>
      </x:c>
      <x:c r="K25" s="27" t="str">
        <x:v>Do not adjudicate this as a true conflict. Reject non-substantive claims or review revised wording independently.</x:v>
      </x:c>
      <x:c r="L25" s="27" t="str">
        <x:v>Yes</x:v>
      </x:c>
      <x:c r="M25" s="27" t="str">
        <x:v>Yes</x:v>
      </x:c>
      <x:c r="N25" s="27" t="str">
        <x:v>Review source records</x:v>
      </x:c>
      <x:c r="O25" s="27" t="str">
        <x:v>Yes</x:v>
      </x:c>
      <x:c r="P25" s="27" t="str">
        <x:v>No</x:v>
      </x:c>
      <x:c r="Q25" s="27" t="str">
        <x:v>Review source-level regional applicability</x:v>
      </x:c>
      <x:c r="R25" s="27" t="str">
        <x:v>Potentially non-comparable findings; do not silently merge.</x:v>
      </x:c>
    </x:row>
    <x:row r="26" ht="72" customHeight="1">
      <x:c r="A26" s="27" t="str">
        <x:v>CON-022</x:v>
      </x:c>
      <x:c r="B26" s="27" t="str">
        <x:v>CLM-001; CLM-092</x:v>
      </x:c>
      <x:c r="C26" s="27" t="str">
        <x:v>SRC-001; SRC-024</x:v>
      </x:c>
      <x:c r="D26" s="27" t="str">
        <x:v>core_condition_knowledge</x:v>
      </x:c>
      <x:c r="E26" s="27" t="str">
        <x:v>not_materially_comparable</x:v>
      </x:c>
      <x:c r="F26" s="27" t="str">
        <x:v>different_condition; guideline_vs_primary_study</x:v>
      </x:c>
      <x:c r="G26" s="27" t="str">
        <x:v>One or both records are source-methodology/context sentences rather than competing clinical findings; the shared broad topic created a false-positive comparison.</x:v>
      </x:c>
      <x:c r="H26" s="27" t="str">
        <x:v>Yes</x:v>
      </x:c>
      <x:c r="I26" s="27" t="str">
        <x:v>No priority—review each claim independently</x:v>
      </x:c>
      <x:c r="J26" s="27" t="str">
        <x:v>Yes</x:v>
      </x:c>
      <x:c r="K26" s="27" t="str">
        <x:v>Do not adjudicate this as a true conflict. Reject non-substantive claims or review revised wording independently.</x:v>
      </x:c>
      <x:c r="L26" s="27" t="str">
        <x:v>Yes</x:v>
      </x:c>
      <x:c r="M26" s="27" t="str">
        <x:v>No</x:v>
      </x:c>
      <x:c r="N26" s="27" t="str">
        <x:v>Review source records</x:v>
      </x:c>
      <x:c r="O26" s="27" t="str">
        <x:v>Yes</x:v>
      </x:c>
      <x:c r="P26" s="27" t="str">
        <x:v>No</x:v>
      </x:c>
      <x:c r="Q26" s="27" t="str">
        <x:v>Review source-level regional applicability</x:v>
      </x:c>
      <x:c r="R26" s="27" t="str">
        <x:v>Potentially non-comparable findings; do not silently merge.</x:v>
      </x:c>
    </x:row>
    <x:row r="27" ht="72" customHeight="1">
      <x:c r="A27" s="27" t="str">
        <x:v>CON-023</x:v>
      </x:c>
      <x:c r="B27" s="27" t="str">
        <x:v>CLM-002; CLM-003</x:v>
      </x:c>
      <x:c r="C27" s="27" t="str">
        <x:v>SRC-001; SRC-001</x:v>
      </x:c>
      <x:c r="D27" s="27" t="str">
        <x:v>core_condition_knowledge</x:v>
      </x:c>
      <x:c r="E27" s="27" t="str">
        <x:v>not_materially_comparable</x:v>
      </x:c>
      <x:c r="F27" s="27" t="str">
        <x:v>different_disease_state</x:v>
      </x:c>
      <x:c r="G27" s="27" t="str">
        <x:v>One or both records are source-methodology/context sentences rather than competing clinical findings; the shared broad topic created a false-positive comparison.</x:v>
      </x:c>
      <x:c r="H27" s="27" t="str">
        <x:v>Yes</x:v>
      </x:c>
      <x:c r="I27" s="27" t="str">
        <x:v>No priority—review each claim independently</x:v>
      </x:c>
      <x:c r="J27" s="27" t="str">
        <x:v>Yes</x:v>
      </x:c>
      <x:c r="K27" s="27" t="str">
        <x:v>Do not adjudicate this as a true conflict. Reject non-substantive claims or review revised wording independently.</x:v>
      </x:c>
      <x:c r="L27" s="27" t="str">
        <x:v>No</x:v>
      </x:c>
      <x:c r="M27" s="27" t="str">
        <x:v>Yes</x:v>
      </x:c>
      <x:c r="N27" s="27" t="str">
        <x:v>Review source records</x:v>
      </x:c>
      <x:c r="O27" s="27" t="str">
        <x:v>No</x:v>
      </x:c>
      <x:c r="P27" s="27" t="str">
        <x:v>No</x:v>
      </x:c>
      <x:c r="Q27" s="27" t="str">
        <x:v>Review source-level regional applicability</x:v>
      </x:c>
      <x:c r="R27" s="27" t="str">
        <x:v>Potentially non-comparable findings; do not silently merge.</x:v>
      </x:c>
    </x:row>
    <x:row r="28" ht="72" customHeight="1">
      <x:c r="A28" s="27" t="str">
        <x:v>CON-024</x:v>
      </x:c>
      <x:c r="B28" s="27" t="str">
        <x:v>CLM-002; CLM-004</x:v>
      </x:c>
      <x:c r="C28" s="27" t="str">
        <x:v>SRC-001; SRC-001</x:v>
      </x:c>
      <x:c r="D28" s="27" t="str">
        <x:v>core_condition_knowledge</x:v>
      </x:c>
      <x:c r="E28" s="27" t="str">
        <x:v>not_materially_comparable</x:v>
      </x:c>
      <x:c r="F28" s="27" t="str">
        <x:v>different_disease_state</x:v>
      </x:c>
      <x:c r="G28" s="27" t="str">
        <x:v>One or both records are source-methodology/context sentences rather than competing clinical findings; the shared broad topic created a false-positive comparison.</x:v>
      </x:c>
      <x:c r="H28" s="27" t="str">
        <x:v>Yes</x:v>
      </x:c>
      <x:c r="I28" s="27" t="str">
        <x:v>No priority—review each claim independently</x:v>
      </x:c>
      <x:c r="J28" s="27" t="str">
        <x:v>Yes</x:v>
      </x:c>
      <x:c r="K28" s="27" t="str">
        <x:v>Do not adjudicate this as a true conflict. Reject non-substantive claims or review revised wording independently.</x:v>
      </x:c>
      <x:c r="L28" s="27" t="str">
        <x:v>No</x:v>
      </x:c>
      <x:c r="M28" s="27" t="str">
        <x:v>Yes</x:v>
      </x:c>
      <x:c r="N28" s="27" t="str">
        <x:v>Review source records</x:v>
      </x:c>
      <x:c r="O28" s="27" t="str">
        <x:v>No</x:v>
      </x:c>
      <x:c r="P28" s="27" t="str">
        <x:v>No</x:v>
      </x:c>
      <x:c r="Q28" s="27" t="str">
        <x:v>Review source-level regional applicability</x:v>
      </x:c>
      <x:c r="R28" s="27" t="str">
        <x:v>Potentially non-comparable findings; do not silently merge.</x:v>
      </x:c>
    </x:row>
    <x:row r="29" ht="72" customHeight="1">
      <x:c r="A29" s="27" t="str">
        <x:v>CON-025</x:v>
      </x:c>
      <x:c r="B29" s="27" t="str">
        <x:v>CLM-002; CLM-012</x:v>
      </x:c>
      <x:c r="C29" s="27" t="str">
        <x:v>SRC-001; SRC-003</x:v>
      </x:c>
      <x:c r="D29" s="27" t="str">
        <x:v>core_condition_knowledge</x:v>
      </x:c>
      <x:c r="E29" s="27" t="str">
        <x:v>not_materially_comparable</x:v>
      </x:c>
      <x:c r="F29" s="27" t="str">
        <x:v>different_condition; different_disease_state</x:v>
      </x:c>
      <x:c r="G29" s="27" t="str">
        <x:v>One or both records are source-methodology/context sentences rather than competing clinical findings; the shared broad topic created a false-positive comparison.</x:v>
      </x:c>
      <x:c r="H29" s="27" t="str">
        <x:v>Yes</x:v>
      </x:c>
      <x:c r="I29" s="27" t="str">
        <x:v>No priority—review each claim independently</x:v>
      </x:c>
      <x:c r="J29" s="27" t="str">
        <x:v>Yes</x:v>
      </x:c>
      <x:c r="K29" s="27" t="str">
        <x:v>Do not adjudicate this as a true conflict. Reject non-substantive claims or review revised wording independently.</x:v>
      </x:c>
      <x:c r="L29" s="27" t="str">
        <x:v>Yes</x:v>
      </x:c>
      <x:c r="M29" s="27" t="str">
        <x:v>Yes</x:v>
      </x:c>
      <x:c r="N29" s="27" t="str">
        <x:v>Review source records</x:v>
      </x:c>
      <x:c r="O29" s="27" t="str">
        <x:v>No</x:v>
      </x:c>
      <x:c r="P29" s="27" t="str">
        <x:v>No</x:v>
      </x:c>
      <x:c r="Q29" s="27" t="str">
        <x:v>Review source-level regional applicability</x:v>
      </x:c>
      <x:c r="R29" s="27" t="str">
        <x:v>Potentially non-comparable findings; do not silently merge.</x:v>
      </x:c>
    </x:row>
    <x:row r="30" ht="72" customHeight="1">
      <x:c r="A30" s="27" t="str">
        <x:v>CON-026</x:v>
      </x:c>
      <x:c r="B30" s="27" t="str">
        <x:v>CLM-002; CLM-016</x:v>
      </x:c>
      <x:c r="C30" s="27" t="str">
        <x:v>SRC-001; SRC-004</x:v>
      </x:c>
      <x:c r="D30" s="27" t="str">
        <x:v>core_condition_knowledge</x:v>
      </x:c>
      <x:c r="E30" s="27" t="str">
        <x:v>not_materially_comparable</x:v>
      </x:c>
      <x:c r="F30" s="27" t="str">
        <x:v>different_condition; different_disease_state; guideline_vs_primary_study</x:v>
      </x:c>
      <x:c r="G30" s="27" t="str">
        <x:v>One or both records are source-methodology/context sentences rather than competing clinical findings; the shared broad topic created a false-positive comparison.</x:v>
      </x:c>
      <x:c r="H30" s="27" t="str">
        <x:v>Yes</x:v>
      </x:c>
      <x:c r="I30" s="27" t="str">
        <x:v>No priority—review each claim independently</x:v>
      </x:c>
      <x:c r="J30" s="27" t="str">
        <x:v>Yes</x:v>
      </x:c>
      <x:c r="K30" s="27" t="str">
        <x:v>Do not adjudicate this as a true conflict. Reject non-substantive claims or review revised wording independently.</x:v>
      </x:c>
      <x:c r="L30" s="27" t="str">
        <x:v>Yes</x:v>
      </x:c>
      <x:c r="M30" s="27" t="str">
        <x:v>Yes</x:v>
      </x:c>
      <x:c r="N30" s="27" t="str">
        <x:v>Review source records</x:v>
      </x:c>
      <x:c r="O30" s="27" t="str">
        <x:v>Yes</x:v>
      </x:c>
      <x:c r="P30" s="27" t="str">
        <x:v>No</x:v>
      </x:c>
      <x:c r="Q30" s="27" t="str">
        <x:v>Review source-level regional applicability</x:v>
      </x:c>
      <x:c r="R30" s="27" t="str">
        <x:v>Potentially non-comparable findings; do not silently merge.</x:v>
      </x:c>
    </x:row>
    <x:row r="31" ht="72" customHeight="1">
      <x:c r="A31" s="27" t="str">
        <x:v>CON-027</x:v>
      </x:c>
      <x:c r="B31" s="27" t="str">
        <x:v>CLM-002; CLM-020</x:v>
      </x:c>
      <x:c r="C31" s="27" t="str">
        <x:v>SRC-001; SRC-005</x:v>
      </x:c>
      <x:c r="D31" s="27" t="str">
        <x:v>core_condition_knowledge</x:v>
      </x:c>
      <x:c r="E31" s="27" t="str">
        <x:v>not_materially_comparable</x:v>
      </x:c>
      <x:c r="F31" s="27" t="str">
        <x:v>different_disease_state; guideline_vs_primary_study</x:v>
      </x:c>
      <x:c r="G31" s="27" t="str">
        <x:v>One or both records are source-methodology/context sentences rather than competing clinical findings; the shared broad topic created a false-positive comparison.</x:v>
      </x:c>
      <x:c r="H31" s="27" t="str">
        <x:v>Yes</x:v>
      </x:c>
      <x:c r="I31" s="27" t="str">
        <x:v>No priority—review each claim independently</x:v>
      </x:c>
      <x:c r="J31" s="27" t="str">
        <x:v>Yes</x:v>
      </x:c>
      <x:c r="K31" s="27" t="str">
        <x:v>Do not adjudicate this as a true conflict. Reject non-substantive claims or review revised wording independently.</x:v>
      </x:c>
      <x:c r="L31" s="27" t="str">
        <x:v>No</x:v>
      </x:c>
      <x:c r="M31" s="27" t="str">
        <x:v>Yes</x:v>
      </x:c>
      <x:c r="N31" s="27" t="str">
        <x:v>Review source records</x:v>
      </x:c>
      <x:c r="O31" s="27" t="str">
        <x:v>Yes</x:v>
      </x:c>
      <x:c r="P31" s="27" t="str">
        <x:v>No</x:v>
      </x:c>
      <x:c r="Q31" s="27" t="str">
        <x:v>Review source-level regional applicability</x:v>
      </x:c>
      <x:c r="R31" s="27" t="str">
        <x:v>Potentially non-comparable findings; do not silently merge.</x:v>
      </x:c>
    </x:row>
    <x:row r="32" ht="72" customHeight="1">
      <x:c r="A32" s="27" t="str">
        <x:v>CON-028</x:v>
      </x:c>
      <x:c r="B32" s="27" t="str">
        <x:v>CLM-002; CLM-021</x:v>
      </x:c>
      <x:c r="C32" s="27" t="str">
        <x:v>SRC-001; SRC-006</x:v>
      </x:c>
      <x:c r="D32" s="27" t="str">
        <x:v>core_condition_knowledge</x:v>
      </x:c>
      <x:c r="E32" s="27" t="str">
        <x:v>not_materially_comparable</x:v>
      </x:c>
      <x:c r="F32" s="27" t="str">
        <x:v>different_disease_state; guideline_vs_primary_study</x:v>
      </x:c>
      <x:c r="G32" s="27" t="str">
        <x:v>One or both records are source-methodology/context sentences rather than competing clinical findings; the shared broad topic created a false-positive comparison.</x:v>
      </x:c>
      <x:c r="H32" s="27" t="str">
        <x:v>Yes</x:v>
      </x:c>
      <x:c r="I32" s="27" t="str">
        <x:v>No priority—review each claim independently</x:v>
      </x:c>
      <x:c r="J32" s="27" t="str">
        <x:v>Yes</x:v>
      </x:c>
      <x:c r="K32" s="27" t="str">
        <x:v>Do not adjudicate this as a true conflict. Reject non-substantive claims or review revised wording independently.</x:v>
      </x:c>
      <x:c r="L32" s="27" t="str">
        <x:v>No</x:v>
      </x:c>
      <x:c r="M32" s="27" t="str">
        <x:v>Yes</x:v>
      </x:c>
      <x:c r="N32" s="27" t="str">
        <x:v>Review source records</x:v>
      </x:c>
      <x:c r="O32" s="27" t="str">
        <x:v>Yes</x:v>
      </x:c>
      <x:c r="P32" s="27" t="str">
        <x:v>No</x:v>
      </x:c>
      <x:c r="Q32" s="27" t="str">
        <x:v>Review source-level regional applicability</x:v>
      </x:c>
      <x:c r="R32" s="27" t="str">
        <x:v>Potentially non-comparable findings; do not silently merge.</x:v>
      </x:c>
    </x:row>
    <x:row r="33" ht="72" customHeight="1">
      <x:c r="A33" s="27" t="str">
        <x:v>CON-029</x:v>
      </x:c>
      <x:c r="B33" s="27" t="str">
        <x:v>CLM-002; CLM-022</x:v>
      </x:c>
      <x:c r="C33" s="27" t="str">
        <x:v>SRC-001; SRC-006</x:v>
      </x:c>
      <x:c r="D33" s="27" t="str">
        <x:v>core_condition_knowledge</x:v>
      </x:c>
      <x:c r="E33" s="27" t="str">
        <x:v>not_materially_comparable</x:v>
      </x:c>
      <x:c r="F33" s="27" t="str">
        <x:v>different_disease_state; guideline_vs_primary_study</x:v>
      </x:c>
      <x:c r="G33" s="27" t="str">
        <x:v>One or both records are source-methodology/context sentences rather than competing clinical findings; the shared broad topic created a false-positive comparison.</x:v>
      </x:c>
      <x:c r="H33" s="27" t="str">
        <x:v>Yes</x:v>
      </x:c>
      <x:c r="I33" s="27" t="str">
        <x:v>No priority—review each claim independently</x:v>
      </x:c>
      <x:c r="J33" s="27" t="str">
        <x:v>Yes</x:v>
      </x:c>
      <x:c r="K33" s="27" t="str">
        <x:v>Do not adjudicate this as a true conflict. Reject non-substantive claims or review revised wording independently.</x:v>
      </x:c>
      <x:c r="L33" s="27" t="str">
        <x:v>No</x:v>
      </x:c>
      <x:c r="M33" s="27" t="str">
        <x:v>Yes</x:v>
      </x:c>
      <x:c r="N33" s="27" t="str">
        <x:v>Review source records</x:v>
      </x:c>
      <x:c r="O33" s="27" t="str">
        <x:v>Yes</x:v>
      </x:c>
      <x:c r="P33" s="27" t="str">
        <x:v>No</x:v>
      </x:c>
      <x:c r="Q33" s="27" t="str">
        <x:v>Review source-level regional applicability</x:v>
      </x:c>
      <x:c r="R33" s="27" t="str">
        <x:v>Potentially non-comparable findings; do not silently merge.</x:v>
      </x:c>
    </x:row>
    <x:row r="34" ht="72" customHeight="1">
      <x:c r="A34" s="27" t="str">
        <x:v>CON-030</x:v>
      </x:c>
      <x:c r="B34" s="27" t="str">
        <x:v>CLM-002; CLM-023</x:v>
      </x:c>
      <x:c r="C34" s="27" t="str">
        <x:v>SRC-001; SRC-006</x:v>
      </x:c>
      <x:c r="D34" s="27" t="str">
        <x:v>core_condition_knowledge</x:v>
      </x:c>
      <x:c r="E34" s="27" t="str">
        <x:v>not_materially_comparable</x:v>
      </x:c>
      <x:c r="F34" s="27" t="str">
        <x:v>different_disease_state; guideline_vs_primary_study</x:v>
      </x:c>
      <x:c r="G34" s="27" t="str">
        <x:v>One or both records are source-methodology/context sentences rather than competing clinical findings; the shared broad topic created a false-positive comparison.</x:v>
      </x:c>
      <x:c r="H34" s="27" t="str">
        <x:v>Yes</x:v>
      </x:c>
      <x:c r="I34" s="27" t="str">
        <x:v>No priority—review each claim independently</x:v>
      </x:c>
      <x:c r="J34" s="27" t="str">
        <x:v>Yes</x:v>
      </x:c>
      <x:c r="K34" s="27" t="str">
        <x:v>Do not adjudicate this as a true conflict. Reject non-substantive claims or review revised wording independently.</x:v>
      </x:c>
      <x:c r="L34" s="27" t="str">
        <x:v>No</x:v>
      </x:c>
      <x:c r="M34" s="27" t="str">
        <x:v>Yes</x:v>
      </x:c>
      <x:c r="N34" s="27" t="str">
        <x:v>Review source records</x:v>
      </x:c>
      <x:c r="O34" s="27" t="str">
        <x:v>Yes</x:v>
      </x:c>
      <x:c r="P34" s="27" t="str">
        <x:v>No</x:v>
      </x:c>
      <x:c r="Q34" s="27" t="str">
        <x:v>Review source-level regional applicability</x:v>
      </x:c>
      <x:c r="R34" s="27" t="str">
        <x:v>Potentially non-comparable findings; do not silently merge.</x:v>
      </x:c>
    </x:row>
    <x:row r="35" ht="72" customHeight="1">
      <x:c r="A35" s="27" t="str">
        <x:v>CON-031</x:v>
      </x:c>
      <x:c r="B35" s="27" t="str">
        <x:v>CLM-002; CLM-024</x:v>
      </x:c>
      <x:c r="C35" s="27" t="str">
        <x:v>SRC-001; SRC-006</x:v>
      </x:c>
      <x:c r="D35" s="27" t="str">
        <x:v>core_condition_knowledge</x:v>
      </x:c>
      <x:c r="E35" s="27" t="str">
        <x:v>not_materially_comparable</x:v>
      </x:c>
      <x:c r="F35" s="27" t="str">
        <x:v>different_disease_state; guideline_vs_primary_study</x:v>
      </x:c>
      <x:c r="G35" s="27" t="str">
        <x:v>One or both records are source-methodology/context sentences rather than competing clinical findings; the shared broad topic created a false-positive comparison.</x:v>
      </x:c>
      <x:c r="H35" s="27" t="str">
        <x:v>Yes</x:v>
      </x:c>
      <x:c r="I35" s="27" t="str">
        <x:v>No priority—review each claim independently</x:v>
      </x:c>
      <x:c r="J35" s="27" t="str">
        <x:v>Yes</x:v>
      </x:c>
      <x:c r="K35" s="27" t="str">
        <x:v>Do not adjudicate this as a true conflict. Reject non-substantive claims or review revised wording independently.</x:v>
      </x:c>
      <x:c r="L35" s="27" t="str">
        <x:v>No</x:v>
      </x:c>
      <x:c r="M35" s="27" t="str">
        <x:v>Yes</x:v>
      </x:c>
      <x:c r="N35" s="27" t="str">
        <x:v>Review source records</x:v>
      </x:c>
      <x:c r="O35" s="27" t="str">
        <x:v>Yes</x:v>
      </x:c>
      <x:c r="P35" s="27" t="str">
        <x:v>No</x:v>
      </x:c>
      <x:c r="Q35" s="27" t="str">
        <x:v>Review source-level regional applicability</x:v>
      </x:c>
      <x:c r="R35" s="27" t="str">
        <x:v>Potentially non-comparable findings; do not silently merge.</x:v>
      </x:c>
    </x:row>
    <x:row r="36" ht="72" customHeight="1">
      <x:c r="A36" s="27" t="str">
        <x:v>CON-032</x:v>
      </x:c>
      <x:c r="B36" s="27" t="str">
        <x:v>CLM-002; CLM-027</x:v>
      </x:c>
      <x:c r="C36" s="27" t="str">
        <x:v>SRC-001; SRC-007</x:v>
      </x:c>
      <x:c r="D36" s="27" t="str">
        <x:v>core_condition_knowledge</x:v>
      </x:c>
      <x:c r="E36" s="27" t="str">
        <x:v>not_materially_comparable</x:v>
      </x:c>
      <x:c r="F36" s="27" t="str">
        <x:v>different_condition; different_disease_state; guideline_vs_primary_study</x:v>
      </x:c>
      <x:c r="G36" s="27" t="str">
        <x:v>One or both records are source-methodology/context sentences rather than competing clinical findings; the shared broad topic created a false-positive comparison.</x:v>
      </x:c>
      <x:c r="H36" s="27" t="str">
        <x:v>Yes</x:v>
      </x:c>
      <x:c r="I36" s="27" t="str">
        <x:v>No priority—review each claim independently</x:v>
      </x:c>
      <x:c r="J36" s="27" t="str">
        <x:v>Yes</x:v>
      </x:c>
      <x:c r="K36" s="27" t="str">
        <x:v>Do not adjudicate this as a true conflict. Reject non-substantive claims or review revised wording independently.</x:v>
      </x:c>
      <x:c r="L36" s="27" t="str">
        <x:v>Yes</x:v>
      </x:c>
      <x:c r="M36" s="27" t="str">
        <x:v>Yes</x:v>
      </x:c>
      <x:c r="N36" s="27" t="str">
        <x:v>Review source records</x:v>
      </x:c>
      <x:c r="O36" s="27" t="str">
        <x:v>Yes</x:v>
      </x:c>
      <x:c r="P36" s="27" t="str">
        <x:v>No</x:v>
      </x:c>
      <x:c r="Q36" s="27" t="str">
        <x:v>Review source-level regional applicability</x:v>
      </x:c>
      <x:c r="R36" s="27" t="str">
        <x:v>Potentially non-comparable findings; do not silently merge.</x:v>
      </x:c>
    </x:row>
    <x:row r="37" ht="72" customHeight="1">
      <x:c r="A37" s="27" t="str">
        <x:v>CON-033</x:v>
      </x:c>
      <x:c r="B37" s="27" t="str">
        <x:v>CLM-002; CLM-028</x:v>
      </x:c>
      <x:c r="C37" s="27" t="str">
        <x:v>SRC-001; SRC-007</x:v>
      </x:c>
      <x:c r="D37" s="27" t="str">
        <x:v>core_condition_knowledge</x:v>
      </x:c>
      <x:c r="E37" s="27" t="str">
        <x:v>not_materially_comparable</x:v>
      </x:c>
      <x:c r="F37" s="27" t="str">
        <x:v>different_condition; different_disease_state; guideline_vs_primary_study</x:v>
      </x:c>
      <x:c r="G37" s="27" t="str">
        <x:v>One or both records are source-methodology/context sentences rather than competing clinical findings; the shared broad topic created a false-positive comparison.</x:v>
      </x:c>
      <x:c r="H37" s="27" t="str">
        <x:v>Yes</x:v>
      </x:c>
      <x:c r="I37" s="27" t="str">
        <x:v>No priority—review each claim independently</x:v>
      </x:c>
      <x:c r="J37" s="27" t="str">
        <x:v>Yes</x:v>
      </x:c>
      <x:c r="K37" s="27" t="str">
        <x:v>Do not adjudicate this as a true conflict. Reject non-substantive claims or review revised wording independently.</x:v>
      </x:c>
      <x:c r="L37" s="27" t="str">
        <x:v>Yes</x:v>
      </x:c>
      <x:c r="M37" s="27" t="str">
        <x:v>Yes</x:v>
      </x:c>
      <x:c r="N37" s="27" t="str">
        <x:v>Review source records</x:v>
      </x:c>
      <x:c r="O37" s="27" t="str">
        <x:v>Yes</x:v>
      </x:c>
      <x:c r="P37" s="27" t="str">
        <x:v>No</x:v>
      </x:c>
      <x:c r="Q37" s="27" t="str">
        <x:v>Review source-level regional applicability</x:v>
      </x:c>
      <x:c r="R37" s="27" t="str">
        <x:v>Potentially non-comparable findings; do not silently merge.</x:v>
      </x:c>
    </x:row>
    <x:row r="38" ht="72" customHeight="1">
      <x:c r="A38" s="27" t="str">
        <x:v>CON-034</x:v>
      </x:c>
      <x:c r="B38" s="27" t="str">
        <x:v>CLM-002; CLM-045</x:v>
      </x:c>
      <x:c r="C38" s="27" t="str">
        <x:v>SRC-001; SRC-012</x:v>
      </x:c>
      <x:c r="D38" s="27" t="str">
        <x:v>core_condition_knowledge</x:v>
      </x:c>
      <x:c r="E38" s="27" t="str">
        <x:v>not_materially_comparable</x:v>
      </x:c>
      <x:c r="F38" s="27" t="str">
        <x:v>different_condition; different_disease_state; guideline_vs_primary_study</x:v>
      </x:c>
      <x:c r="G38" s="27" t="str">
        <x:v>One or both records are source-methodology/context sentences rather than competing clinical findings; the shared broad topic created a false-positive comparison.</x:v>
      </x:c>
      <x:c r="H38" s="27" t="str">
        <x:v>Yes</x:v>
      </x:c>
      <x:c r="I38" s="27" t="str">
        <x:v>No priority—review each claim independently</x:v>
      </x:c>
      <x:c r="J38" s="27" t="str">
        <x:v>Yes</x:v>
      </x:c>
      <x:c r="K38" s="27" t="str">
        <x:v>Do not adjudicate this as a true conflict. Reject non-substantive claims or review revised wording independently.</x:v>
      </x:c>
      <x:c r="L38" s="27" t="str">
        <x:v>Yes</x:v>
      </x:c>
      <x:c r="M38" s="27" t="str">
        <x:v>Yes</x:v>
      </x:c>
      <x:c r="N38" s="27" t="str">
        <x:v>Review source records</x:v>
      </x:c>
      <x:c r="O38" s="27" t="str">
        <x:v>Yes</x:v>
      </x:c>
      <x:c r="P38" s="27" t="str">
        <x:v>No</x:v>
      </x:c>
      <x:c r="Q38" s="27" t="str">
        <x:v>Review source-level regional applicability</x:v>
      </x:c>
      <x:c r="R38" s="27" t="str">
        <x:v>Potentially non-comparable findings; do not silently merge.</x:v>
      </x:c>
    </x:row>
    <x:row r="39" ht="72" customHeight="1">
      <x:c r="A39" s="27" t="str">
        <x:v>CON-035</x:v>
      </x:c>
      <x:c r="B39" s="27" t="str">
        <x:v>CLM-002; CLM-051</x:v>
      </x:c>
      <x:c r="C39" s="27" t="str">
        <x:v>SRC-001; SRC-013</x:v>
      </x:c>
      <x:c r="D39" s="27" t="str">
        <x:v>core_condition_knowledge</x:v>
      </x:c>
      <x:c r="E39" s="27" t="str">
        <x:v>not_materially_comparable</x:v>
      </x:c>
      <x:c r="F39" s="27" t="str">
        <x:v>different_disease_state; guideline_vs_primary_study</x:v>
      </x:c>
      <x:c r="G39" s="27" t="str">
        <x:v>One or both records are source-methodology/context sentences rather than competing clinical findings; the shared broad topic created a false-positive comparison.</x:v>
      </x:c>
      <x:c r="H39" s="27" t="str">
        <x:v>Yes</x:v>
      </x:c>
      <x:c r="I39" s="27" t="str">
        <x:v>No priority—review each claim independently</x:v>
      </x:c>
      <x:c r="J39" s="27" t="str">
        <x:v>Yes</x:v>
      </x:c>
      <x:c r="K39" s="27" t="str">
        <x:v>Do not adjudicate this as a true conflict. Reject non-substantive claims or review revised wording independently.</x:v>
      </x:c>
      <x:c r="L39" s="27" t="str">
        <x:v>No</x:v>
      </x:c>
      <x:c r="M39" s="27" t="str">
        <x:v>Yes</x:v>
      </x:c>
      <x:c r="N39" s="27" t="str">
        <x:v>Review source records</x:v>
      </x:c>
      <x:c r="O39" s="27" t="str">
        <x:v>Yes</x:v>
      </x:c>
      <x:c r="P39" s="27" t="str">
        <x:v>No</x:v>
      </x:c>
      <x:c r="Q39" s="27" t="str">
        <x:v>Review source-level regional applicability</x:v>
      </x:c>
      <x:c r="R39" s="27" t="str">
        <x:v>Potentially non-comparable findings; do not silently merge.</x:v>
      </x:c>
    </x:row>
    <x:row r="40" ht="72" customHeight="1">
      <x:c r="A40" s="27" t="str">
        <x:v>CON-036</x:v>
      </x:c>
      <x:c r="B40" s="27" t="str">
        <x:v>CLM-002; CLM-054</x:v>
      </x:c>
      <x:c r="C40" s="27" t="str">
        <x:v>SRC-001; SRC-014</x:v>
      </x:c>
      <x:c r="D40" s="27" t="str">
        <x:v>core_condition_knowledge</x:v>
      </x:c>
      <x:c r="E40" s="27" t="str">
        <x:v>not_materially_comparable</x:v>
      </x:c>
      <x:c r="F40" s="27" t="str">
        <x:v>different_condition; different_disease_state; guideline_vs_primary_study</x:v>
      </x:c>
      <x:c r="G40" s="27" t="str">
        <x:v>One or both records are source-methodology/context sentences rather than competing clinical findings; the shared broad topic created a false-positive comparison.</x:v>
      </x:c>
      <x:c r="H40" s="27" t="str">
        <x:v>Yes</x:v>
      </x:c>
      <x:c r="I40" s="27" t="str">
        <x:v>No priority—review each claim independently</x:v>
      </x:c>
      <x:c r="J40" s="27" t="str">
        <x:v>Yes</x:v>
      </x:c>
      <x:c r="K40" s="27" t="str">
        <x:v>Do not adjudicate this as a true conflict. Reject non-substantive claims or review revised wording independently.</x:v>
      </x:c>
      <x:c r="L40" s="27" t="str">
        <x:v>Yes</x:v>
      </x:c>
      <x:c r="M40" s="27" t="str">
        <x:v>Yes</x:v>
      </x:c>
      <x:c r="N40" s="27" t="str">
        <x:v>Review source records</x:v>
      </x:c>
      <x:c r="O40" s="27" t="str">
        <x:v>Yes</x:v>
      </x:c>
      <x:c r="P40" s="27" t="str">
        <x:v>No</x:v>
      </x:c>
      <x:c r="Q40" s="27" t="str">
        <x:v>Review source-level regional applicability</x:v>
      </x:c>
      <x:c r="R40" s="27" t="str">
        <x:v>Potentially non-comparable findings; do not silently merge.</x:v>
      </x:c>
    </x:row>
    <x:row r="41" ht="72" customHeight="1">
      <x:c r="A41" s="27" t="str">
        <x:v>CON-037</x:v>
      </x:c>
      <x:c r="B41" s="27" t="str">
        <x:v>CLM-002; CLM-055</x:v>
      </x:c>
      <x:c r="C41" s="27" t="str">
        <x:v>SRC-001; SRC-014</x:v>
      </x:c>
      <x:c r="D41" s="27" t="str">
        <x:v>core_condition_knowledge</x:v>
      </x:c>
      <x:c r="E41" s="27" t="str">
        <x:v>not_materially_comparable</x:v>
      </x:c>
      <x:c r="F41" s="27" t="str">
        <x:v>different_condition; different_disease_state; guideline_vs_primary_study</x:v>
      </x:c>
      <x:c r="G41" s="27" t="str">
        <x:v>One or both records are source-methodology/context sentences rather than competing clinical findings; the shared broad topic created a false-positive comparison.</x:v>
      </x:c>
      <x:c r="H41" s="27" t="str">
        <x:v>Yes</x:v>
      </x:c>
      <x:c r="I41" s="27" t="str">
        <x:v>No priority—review each claim independently</x:v>
      </x:c>
      <x:c r="J41" s="27" t="str">
        <x:v>Yes</x:v>
      </x:c>
      <x:c r="K41" s="27" t="str">
        <x:v>Do not adjudicate this as a true conflict. Reject non-substantive claims or review revised wording independently.</x:v>
      </x:c>
      <x:c r="L41" s="27" t="str">
        <x:v>Yes</x:v>
      </x:c>
      <x:c r="M41" s="27" t="str">
        <x:v>Yes</x:v>
      </x:c>
      <x:c r="N41" s="27" t="str">
        <x:v>Review source records</x:v>
      </x:c>
      <x:c r="O41" s="27" t="str">
        <x:v>Yes</x:v>
      </x:c>
      <x:c r="P41" s="27" t="str">
        <x:v>No</x:v>
      </x:c>
      <x:c r="Q41" s="27" t="str">
        <x:v>Review source-level regional applicability</x:v>
      </x:c>
      <x:c r="R41" s="27" t="str">
        <x:v>Potentially non-comparable findings; do not silently merge.</x:v>
      </x:c>
    </x:row>
    <x:row r="42" ht="72" customHeight="1">
      <x:c r="A42" s="27" t="str">
        <x:v>CON-038</x:v>
      </x:c>
      <x:c r="B42" s="27" t="str">
        <x:v>CLM-002; CLM-057</x:v>
      </x:c>
      <x:c r="C42" s="27" t="str">
        <x:v>SRC-001; SRC-015</x:v>
      </x:c>
      <x:c r="D42" s="27" t="str">
        <x:v>core_condition_knowledge</x:v>
      </x:c>
      <x:c r="E42" s="27" t="str">
        <x:v>not_materially_comparable</x:v>
      </x:c>
      <x:c r="F42" s="27" t="str">
        <x:v>different_disease_state; guideline_vs_primary_study</x:v>
      </x:c>
      <x:c r="G42" s="27" t="str">
        <x:v>One or both records are source-methodology/context sentences rather than competing clinical findings; the shared broad topic created a false-positive comparison.</x:v>
      </x:c>
      <x:c r="H42" s="27" t="str">
        <x:v>Yes</x:v>
      </x:c>
      <x:c r="I42" s="27" t="str">
        <x:v>No priority—review each claim independently</x:v>
      </x:c>
      <x:c r="J42" s="27" t="str">
        <x:v>Yes</x:v>
      </x:c>
      <x:c r="K42" s="27" t="str">
        <x:v>Do not adjudicate this as a true conflict. Reject non-substantive claims or review revised wording independently.</x:v>
      </x:c>
      <x:c r="L42" s="27" t="str">
        <x:v>No</x:v>
      </x:c>
      <x:c r="M42" s="27" t="str">
        <x:v>Yes</x:v>
      </x:c>
      <x:c r="N42" s="27" t="str">
        <x:v>Review source records</x:v>
      </x:c>
      <x:c r="O42" s="27" t="str">
        <x:v>Yes</x:v>
      </x:c>
      <x:c r="P42" s="27" t="str">
        <x:v>No</x:v>
      </x:c>
      <x:c r="Q42" s="27" t="str">
        <x:v>Review source-level regional applicability</x:v>
      </x:c>
      <x:c r="R42" s="27" t="str">
        <x:v>Potentially non-comparable findings; do not silently merge.</x:v>
      </x:c>
    </x:row>
    <x:row r="43" ht="72" customHeight="1">
      <x:c r="A43" s="27" t="str">
        <x:v>CON-039</x:v>
      </x:c>
      <x:c r="B43" s="27" t="str">
        <x:v>CLM-002; CLM-058</x:v>
      </x:c>
      <x:c r="C43" s="27" t="str">
        <x:v>SRC-001; SRC-015</x:v>
      </x:c>
      <x:c r="D43" s="27" t="str">
        <x:v>core_condition_knowledge</x:v>
      </x:c>
      <x:c r="E43" s="27" t="str">
        <x:v>not_materially_comparable</x:v>
      </x:c>
      <x:c r="F43" s="27" t="str">
        <x:v>different_condition; different_disease_state; guideline_vs_primary_study</x:v>
      </x:c>
      <x:c r="G43" s="27" t="str">
        <x:v>One or both records are source-methodology/context sentences rather than competing clinical findings; the shared broad topic created a false-positive comparison.</x:v>
      </x:c>
      <x:c r="H43" s="27" t="str">
        <x:v>Yes</x:v>
      </x:c>
      <x:c r="I43" s="27" t="str">
        <x:v>No priority—review each claim independently</x:v>
      </x:c>
      <x:c r="J43" s="27" t="str">
        <x:v>Yes</x:v>
      </x:c>
      <x:c r="K43" s="27" t="str">
        <x:v>Do not adjudicate this as a true conflict. Reject non-substantive claims or review revised wording independently.</x:v>
      </x:c>
      <x:c r="L43" s="27" t="str">
        <x:v>Yes</x:v>
      </x:c>
      <x:c r="M43" s="27" t="str">
        <x:v>Yes</x:v>
      </x:c>
      <x:c r="N43" s="27" t="str">
        <x:v>Review source records</x:v>
      </x:c>
      <x:c r="O43" s="27" t="str">
        <x:v>Yes</x:v>
      </x:c>
      <x:c r="P43" s="27" t="str">
        <x:v>No</x:v>
      </x:c>
      <x:c r="Q43" s="27" t="str">
        <x:v>Review source-level regional applicability</x:v>
      </x:c>
      <x:c r="R43" s="27" t="str">
        <x:v>Potentially non-comparable findings; do not silently merge.</x:v>
      </x:c>
    </x:row>
    <x:row r="44" ht="72" customHeight="1">
      <x:c r="A44" s="27" t="str">
        <x:v>CON-040</x:v>
      </x:c>
      <x:c r="B44" s="27" t="str">
        <x:v>CLM-002; CLM-059</x:v>
      </x:c>
      <x:c r="C44" s="27" t="str">
        <x:v>SRC-001; SRC-015</x:v>
      </x:c>
      <x:c r="D44" s="27" t="str">
        <x:v>core_condition_knowledge</x:v>
      </x:c>
      <x:c r="E44" s="27" t="str">
        <x:v>not_materially_comparable</x:v>
      </x:c>
      <x:c r="F44" s="27" t="str">
        <x:v>different_condition; different_disease_state; guideline_vs_primary_study</x:v>
      </x:c>
      <x:c r="G44" s="27" t="str">
        <x:v>One or both records are source-methodology/context sentences rather than competing clinical findings; the shared broad topic created a false-positive comparison.</x:v>
      </x:c>
      <x:c r="H44" s="27" t="str">
        <x:v>Yes</x:v>
      </x:c>
      <x:c r="I44" s="27" t="str">
        <x:v>No priority—review each claim independently</x:v>
      </x:c>
      <x:c r="J44" s="27" t="str">
        <x:v>Yes</x:v>
      </x:c>
      <x:c r="K44" s="27" t="str">
        <x:v>Do not adjudicate this as a true conflict. Reject non-substantive claims or review revised wording independently.</x:v>
      </x:c>
      <x:c r="L44" s="27" t="str">
        <x:v>Yes</x:v>
      </x:c>
      <x:c r="M44" s="27" t="str">
        <x:v>Yes</x:v>
      </x:c>
      <x:c r="N44" s="27" t="str">
        <x:v>Review source records</x:v>
      </x:c>
      <x:c r="O44" s="27" t="str">
        <x:v>Yes</x:v>
      </x:c>
      <x:c r="P44" s="27" t="str">
        <x:v>No</x:v>
      </x:c>
      <x:c r="Q44" s="27" t="str">
        <x:v>Review source-level regional applicability</x:v>
      </x:c>
      <x:c r="R44" s="27" t="str">
        <x:v>Potentially non-comparable findings; do not silently merge.</x:v>
      </x:c>
    </x:row>
    <x:row r="45" ht="72" customHeight="1">
      <x:c r="A45" s="27" t="str">
        <x:v>CON-041</x:v>
      </x:c>
      <x:c r="B45" s="27" t="str">
        <x:v>CLM-002; CLM-060</x:v>
      </x:c>
      <x:c r="C45" s="27" t="str">
        <x:v>SRC-001; SRC-015</x:v>
      </x:c>
      <x:c r="D45" s="27" t="str">
        <x:v>core_condition_knowledge</x:v>
      </x:c>
      <x:c r="E45" s="27" t="str">
        <x:v>not_materially_comparable</x:v>
      </x:c>
      <x:c r="F45" s="27" t="str">
        <x:v>different_condition; different_disease_state; guideline_vs_primary_study</x:v>
      </x:c>
      <x:c r="G45" s="27" t="str">
        <x:v>One or both records are source-methodology/context sentences rather than competing clinical findings; the shared broad topic created a false-positive comparison.</x:v>
      </x:c>
      <x:c r="H45" s="27" t="str">
        <x:v>Yes</x:v>
      </x:c>
      <x:c r="I45" s="27" t="str">
        <x:v>No priority—review each claim independently</x:v>
      </x:c>
      <x:c r="J45" s="27" t="str">
        <x:v>Yes</x:v>
      </x:c>
      <x:c r="K45" s="27" t="str">
        <x:v>Do not adjudicate this as a true conflict. Reject non-substantive claims or review revised wording independently.</x:v>
      </x:c>
      <x:c r="L45" s="27" t="str">
        <x:v>Yes</x:v>
      </x:c>
      <x:c r="M45" s="27" t="str">
        <x:v>Yes</x:v>
      </x:c>
      <x:c r="N45" s="27" t="str">
        <x:v>Review source records</x:v>
      </x:c>
      <x:c r="O45" s="27" t="str">
        <x:v>Yes</x:v>
      </x:c>
      <x:c r="P45" s="27" t="str">
        <x:v>No</x:v>
      </x:c>
      <x:c r="Q45" s="27" t="str">
        <x:v>Review source-level regional applicability</x:v>
      </x:c>
      <x:c r="R45" s="27" t="str">
        <x:v>Potentially non-comparable findings; do not silently merge.</x:v>
      </x:c>
    </x:row>
    <x:row r="46" ht="72" customHeight="1">
      <x:c r="A46" s="27" t="str">
        <x:v>CON-042</x:v>
      </x:c>
      <x:c r="B46" s="27" t="str">
        <x:v>CLM-002; CLM-063</x:v>
      </x:c>
      <x:c r="C46" s="27" t="str">
        <x:v>SRC-001; SRC-016</x:v>
      </x:c>
      <x:c r="D46" s="27" t="str">
        <x:v>core_condition_knowledge</x:v>
      </x:c>
      <x:c r="E46" s="27" t="str">
        <x:v>not_materially_comparable</x:v>
      </x:c>
      <x:c r="F46" s="27" t="str">
        <x:v>different_condition; different_disease_state; guideline_vs_primary_study</x:v>
      </x:c>
      <x:c r="G46" s="27" t="str">
        <x:v>One or both records are source-methodology/context sentences rather than competing clinical findings; the shared broad topic created a false-positive comparison.</x:v>
      </x:c>
      <x:c r="H46" s="27" t="str">
        <x:v>Yes</x:v>
      </x:c>
      <x:c r="I46" s="27" t="str">
        <x:v>No priority—review each claim independently</x:v>
      </x:c>
      <x:c r="J46" s="27" t="str">
        <x:v>Yes</x:v>
      </x:c>
      <x:c r="K46" s="27" t="str">
        <x:v>Do not adjudicate this as a true conflict. Reject non-substantive claims or review revised wording independently.</x:v>
      </x:c>
      <x:c r="L46" s="27" t="str">
        <x:v>Yes</x:v>
      </x:c>
      <x:c r="M46" s="27" t="str">
        <x:v>Yes</x:v>
      </x:c>
      <x:c r="N46" s="27" t="str">
        <x:v>Review source records</x:v>
      </x:c>
      <x:c r="O46" s="27" t="str">
        <x:v>Yes</x:v>
      </x:c>
      <x:c r="P46" s="27" t="str">
        <x:v>No</x:v>
      </x:c>
      <x:c r="Q46" s="27" t="str">
        <x:v>Review source-level regional applicability</x:v>
      </x:c>
      <x:c r="R46" s="27" t="str">
        <x:v>Potentially non-comparable findings; do not silently merge.</x:v>
      </x:c>
    </x:row>
    <x:row r="47" ht="72" customHeight="1">
      <x:c r="A47" s="27" t="str">
        <x:v>CON-043</x:v>
      </x:c>
      <x:c r="B47" s="27" t="str">
        <x:v>CLM-002; CLM-067</x:v>
      </x:c>
      <x:c r="C47" s="27" t="str">
        <x:v>SRC-001; SRC-017</x:v>
      </x:c>
      <x:c r="D47" s="27" t="str">
        <x:v>core_condition_knowledge</x:v>
      </x:c>
      <x:c r="E47" s="27" t="str">
        <x:v>not_materially_comparable</x:v>
      </x:c>
      <x:c r="F47" s="27" t="str">
        <x:v>different_condition; guideline_vs_primary_study</x:v>
      </x:c>
      <x:c r="G47" s="27" t="str">
        <x:v>One or both records are source-methodology/context sentences rather than competing clinical findings; the shared broad topic created a false-positive comparison.</x:v>
      </x:c>
      <x:c r="H47" s="27" t="str">
        <x:v>Yes</x:v>
      </x:c>
      <x:c r="I47" s="27" t="str">
        <x:v>No priority—review each claim independently</x:v>
      </x:c>
      <x:c r="J47" s="27" t="str">
        <x:v>Yes</x:v>
      </x:c>
      <x:c r="K47" s="27" t="str">
        <x:v>Do not adjudicate this as a true conflict. Reject non-substantive claims or review revised wording independently.</x:v>
      </x:c>
      <x:c r="L47" s="27" t="str">
        <x:v>Yes</x:v>
      </x:c>
      <x:c r="M47" s="27" t="str">
        <x:v>No</x:v>
      </x:c>
      <x:c r="N47" s="27" t="str">
        <x:v>Review source records</x:v>
      </x:c>
      <x:c r="O47" s="27" t="str">
        <x:v>Yes</x:v>
      </x:c>
      <x:c r="P47" s="27" t="str">
        <x:v>No</x:v>
      </x:c>
      <x:c r="Q47" s="27" t="str">
        <x:v>Review source-level regional applicability</x:v>
      </x:c>
      <x:c r="R47" s="27" t="str">
        <x:v>Potentially non-comparable findings; do not silently merge.</x:v>
      </x:c>
    </x:row>
    <x:row r="48" ht="72" customHeight="1">
      <x:c r="A48" s="27" t="str">
        <x:v>CON-044</x:v>
      </x:c>
      <x:c r="B48" s="27" t="str">
        <x:v>CLM-002; CLM-068</x:v>
      </x:c>
      <x:c r="C48" s="27" t="str">
        <x:v>SRC-001; SRC-017</x:v>
      </x:c>
      <x:c r="D48" s="27" t="str">
        <x:v>core_condition_knowledge</x:v>
      </x:c>
      <x:c r="E48" s="27" t="str">
        <x:v>not_materially_comparable</x:v>
      </x:c>
      <x:c r="F48" s="27" t="str">
        <x:v>different_condition; different_disease_state; guideline_vs_primary_study</x:v>
      </x:c>
      <x:c r="G48" s="27" t="str">
        <x:v>One or both records are source-methodology/context sentences rather than competing clinical findings; the shared broad topic created a false-positive comparison.</x:v>
      </x:c>
      <x:c r="H48" s="27" t="str">
        <x:v>Yes</x:v>
      </x:c>
      <x:c r="I48" s="27" t="str">
        <x:v>No priority—review each claim independently</x:v>
      </x:c>
      <x:c r="J48" s="27" t="str">
        <x:v>Yes</x:v>
      </x:c>
      <x:c r="K48" s="27" t="str">
        <x:v>Do not adjudicate this as a true conflict. Reject non-substantive claims or review revised wording independently.</x:v>
      </x:c>
      <x:c r="L48" s="27" t="str">
        <x:v>Yes</x:v>
      </x:c>
      <x:c r="M48" s="27" t="str">
        <x:v>Yes</x:v>
      </x:c>
      <x:c r="N48" s="27" t="str">
        <x:v>Review source records</x:v>
      </x:c>
      <x:c r="O48" s="27" t="str">
        <x:v>Yes</x:v>
      </x:c>
      <x:c r="P48" s="27" t="str">
        <x:v>No</x:v>
      </x:c>
      <x:c r="Q48" s="27" t="str">
        <x:v>Review source-level regional applicability</x:v>
      </x:c>
      <x:c r="R48" s="27" t="str">
        <x:v>Potentially non-comparable findings; do not silently merge.</x:v>
      </x:c>
    </x:row>
    <x:row r="49" ht="72" customHeight="1">
      <x:c r="A49" s="27" t="str">
        <x:v>CON-045</x:v>
      </x:c>
      <x:c r="B49" s="27" t="str">
        <x:v>CLM-002; CLM-074</x:v>
      </x:c>
      <x:c r="C49" s="27" t="str">
        <x:v>SRC-001; SRC-019</x:v>
      </x:c>
      <x:c r="D49" s="27" t="str">
        <x:v>core_condition_knowledge</x:v>
      </x:c>
      <x:c r="E49" s="27" t="str">
        <x:v>not_materially_comparable</x:v>
      </x:c>
      <x:c r="F49" s="27" t="str">
        <x:v>different_disease_state; guideline_vs_primary_study</x:v>
      </x:c>
      <x:c r="G49" s="27" t="str">
        <x:v>One or both records are source-methodology/context sentences rather than competing clinical findings; the shared broad topic created a false-positive comparison.</x:v>
      </x:c>
      <x:c r="H49" s="27" t="str">
        <x:v>Yes</x:v>
      </x:c>
      <x:c r="I49" s="27" t="str">
        <x:v>No priority—review each claim independently</x:v>
      </x:c>
      <x:c r="J49" s="27" t="str">
        <x:v>Yes</x:v>
      </x:c>
      <x:c r="K49" s="27" t="str">
        <x:v>Do not adjudicate this as a true conflict. Reject non-substantive claims or review revised wording independently.</x:v>
      </x:c>
      <x:c r="L49" s="27" t="str">
        <x:v>No</x:v>
      </x:c>
      <x:c r="M49" s="27" t="str">
        <x:v>Yes</x:v>
      </x:c>
      <x:c r="N49" s="27" t="str">
        <x:v>Review source records</x:v>
      </x:c>
      <x:c r="O49" s="27" t="str">
        <x:v>Yes</x:v>
      </x:c>
      <x:c r="P49" s="27" t="str">
        <x:v>No</x:v>
      </x:c>
      <x:c r="Q49" s="27" t="str">
        <x:v>Review source-level regional applicability</x:v>
      </x:c>
      <x:c r="R49" s="27" t="str">
        <x:v>Potentially non-comparable findings; do not silently merge.</x:v>
      </x:c>
    </x:row>
    <x:row r="50" ht="72" customHeight="1">
      <x:c r="A50" s="27" t="str">
        <x:v>CON-046</x:v>
      </x:c>
      <x:c r="B50" s="27" t="str">
        <x:v>CLM-002; CLM-081</x:v>
      </x:c>
      <x:c r="C50" s="27" t="str">
        <x:v>SRC-001; SRC-021</x:v>
      </x:c>
      <x:c r="D50" s="27" t="str">
        <x:v>core_condition_knowledge</x:v>
      </x:c>
      <x:c r="E50" s="27" t="str">
        <x:v>not_materially_comparable</x:v>
      </x:c>
      <x:c r="F50" s="27" t="str">
        <x:v>different_condition; different_disease_state; guideline_vs_primary_study</x:v>
      </x:c>
      <x:c r="G50" s="27" t="str">
        <x:v>One or both records are source-methodology/context sentences rather than competing clinical findings; the shared broad topic created a false-positive comparison.</x:v>
      </x:c>
      <x:c r="H50" s="27" t="str">
        <x:v>Yes</x:v>
      </x:c>
      <x:c r="I50" s="27" t="str">
        <x:v>No priority—review each claim independently</x:v>
      </x:c>
      <x:c r="J50" s="27" t="str">
        <x:v>Yes</x:v>
      </x:c>
      <x:c r="K50" s="27" t="str">
        <x:v>Do not adjudicate this as a true conflict. Reject non-substantive claims or review revised wording independently.</x:v>
      </x:c>
      <x:c r="L50" s="27" t="str">
        <x:v>Yes</x:v>
      </x:c>
      <x:c r="M50" s="27" t="str">
        <x:v>Yes</x:v>
      </x:c>
      <x:c r="N50" s="27" t="str">
        <x:v>Review source records</x:v>
      </x:c>
      <x:c r="O50" s="27" t="str">
        <x:v>Yes</x:v>
      </x:c>
      <x:c r="P50" s="27" t="str">
        <x:v>No</x:v>
      </x:c>
      <x:c r="Q50" s="27" t="str">
        <x:v>Review source-level regional applicability</x:v>
      </x:c>
      <x:c r="R50" s="27" t="str">
        <x:v>Potentially non-comparable findings; do not silently merge.</x:v>
      </x:c>
    </x:row>
    <x:row r="51" ht="72" customHeight="1">
      <x:c r="A51" s="27" t="str">
        <x:v>CON-047</x:v>
      </x:c>
      <x:c r="B51" s="27" t="str">
        <x:v>CLM-002; CLM-082</x:v>
      </x:c>
      <x:c r="C51" s="27" t="str">
        <x:v>SRC-001; SRC-021</x:v>
      </x:c>
      <x:c r="D51" s="27" t="str">
        <x:v>core_condition_knowledge</x:v>
      </x:c>
      <x:c r="E51" s="27" t="str">
        <x:v>not_materially_comparable</x:v>
      </x:c>
      <x:c r="F51" s="27" t="str">
        <x:v>different_condition; different_disease_state; guideline_vs_primary_study</x:v>
      </x:c>
      <x:c r="G51" s="27" t="str">
        <x:v>One or both records are source-methodology/context sentences rather than competing clinical findings; the shared broad topic created a false-positive comparison.</x:v>
      </x:c>
      <x:c r="H51" s="27" t="str">
        <x:v>Yes</x:v>
      </x:c>
      <x:c r="I51" s="27" t="str">
        <x:v>No priority—review each claim independently</x:v>
      </x:c>
      <x:c r="J51" s="27" t="str">
        <x:v>Yes</x:v>
      </x:c>
      <x:c r="K51" s="27" t="str">
        <x:v>Do not adjudicate this as a true conflict. Reject non-substantive claims or review revised wording independently.</x:v>
      </x:c>
      <x:c r="L51" s="27" t="str">
        <x:v>Yes</x:v>
      </x:c>
      <x:c r="M51" s="27" t="str">
        <x:v>Yes</x:v>
      </x:c>
      <x:c r="N51" s="27" t="str">
        <x:v>Review source records</x:v>
      </x:c>
      <x:c r="O51" s="27" t="str">
        <x:v>Yes</x:v>
      </x:c>
      <x:c r="P51" s="27" t="str">
        <x:v>No</x:v>
      </x:c>
      <x:c r="Q51" s="27" t="str">
        <x:v>Review source-level regional applicability</x:v>
      </x:c>
      <x:c r="R51" s="27" t="str">
        <x:v>Potentially non-comparable findings; do not silently merge.</x:v>
      </x:c>
    </x:row>
    <x:row r="52" ht="72" customHeight="1">
      <x:c r="A52" s="27" t="str">
        <x:v>CON-048</x:v>
      </x:c>
      <x:c r="B52" s="27" t="str">
        <x:v>CLM-002; CLM-084</x:v>
      </x:c>
      <x:c r="C52" s="27" t="str">
        <x:v>SRC-001; SRC-022</x:v>
      </x:c>
      <x:c r="D52" s="27" t="str">
        <x:v>core_condition_knowledge</x:v>
      </x:c>
      <x:c r="E52" s="27" t="str">
        <x:v>not_materially_comparable</x:v>
      </x:c>
      <x:c r="F52" s="27" t="str">
        <x:v>different_condition; different_disease_state</x:v>
      </x:c>
      <x:c r="G52" s="27" t="str">
        <x:v>One or both records are source-methodology/context sentences rather than competing clinical findings; the shared broad topic created a false-positive comparison.</x:v>
      </x:c>
      <x:c r="H52" s="27" t="str">
        <x:v>Yes</x:v>
      </x:c>
      <x:c r="I52" s="27" t="str">
        <x:v>No priority—review each claim independently</x:v>
      </x:c>
      <x:c r="J52" s="27" t="str">
        <x:v>Yes</x:v>
      </x:c>
      <x:c r="K52" s="27" t="str">
        <x:v>Do not adjudicate this as a true conflict. Reject non-substantive claims or review revised wording independently.</x:v>
      </x:c>
      <x:c r="L52" s="27" t="str">
        <x:v>Yes</x:v>
      </x:c>
      <x:c r="M52" s="27" t="str">
        <x:v>Yes</x:v>
      </x:c>
      <x:c r="N52" s="27" t="str">
        <x:v>Review source records</x:v>
      </x:c>
      <x:c r="O52" s="27" t="str">
        <x:v>No</x:v>
      </x:c>
      <x:c r="P52" s="27" t="str">
        <x:v>No</x:v>
      </x:c>
      <x:c r="Q52" s="27" t="str">
        <x:v>Review source-level regional applicability</x:v>
      </x:c>
      <x:c r="R52" s="27" t="str">
        <x:v>Potentially non-comparable findings; do not silently merge.</x:v>
      </x:c>
    </x:row>
    <x:row r="53" ht="72" customHeight="1">
      <x:c r="A53" s="27" t="str">
        <x:v>CON-049</x:v>
      </x:c>
      <x:c r="B53" s="27" t="str">
        <x:v>CLM-002; CLM-085</x:v>
      </x:c>
      <x:c r="C53" s="27" t="str">
        <x:v>SRC-001; SRC-022</x:v>
      </x:c>
      <x:c r="D53" s="27" t="str">
        <x:v>core_condition_knowledge</x:v>
      </x:c>
      <x:c r="E53" s="27" t="str">
        <x:v>not_materially_comparable</x:v>
      </x:c>
      <x:c r="F53" s="27" t="str">
        <x:v>different_condition; different_disease_state</x:v>
      </x:c>
      <x:c r="G53" s="27" t="str">
        <x:v>One or both records are source-methodology/context sentences rather than competing clinical findings; the shared broad topic created a false-positive comparison.</x:v>
      </x:c>
      <x:c r="H53" s="27" t="str">
        <x:v>Yes</x:v>
      </x:c>
      <x:c r="I53" s="27" t="str">
        <x:v>No priority—review each claim independently</x:v>
      </x:c>
      <x:c r="J53" s="27" t="str">
        <x:v>Yes</x:v>
      </x:c>
      <x:c r="K53" s="27" t="str">
        <x:v>Do not adjudicate this as a true conflict. Reject non-substantive claims or review revised wording independently.</x:v>
      </x:c>
      <x:c r="L53" s="27" t="str">
        <x:v>Yes</x:v>
      </x:c>
      <x:c r="M53" s="27" t="str">
        <x:v>Yes</x:v>
      </x:c>
      <x:c r="N53" s="27" t="str">
        <x:v>Review source records</x:v>
      </x:c>
      <x:c r="O53" s="27" t="str">
        <x:v>No</x:v>
      </x:c>
      <x:c r="P53" s="27" t="str">
        <x:v>No</x:v>
      </x:c>
      <x:c r="Q53" s="27" t="str">
        <x:v>Review source-level regional applicability</x:v>
      </x:c>
      <x:c r="R53" s="27" t="str">
        <x:v>Potentially non-comparable findings; do not silently merge.</x:v>
      </x:c>
    </x:row>
    <x:row r="54" ht="72" customHeight="1">
      <x:c r="A54" s="27" t="str">
        <x:v>CON-050</x:v>
      </x:c>
      <x:c r="B54" s="27" t="str">
        <x:v>CLM-002; CLM-089</x:v>
      </x:c>
      <x:c r="C54" s="27" t="str">
        <x:v>SRC-001; SRC-023</x:v>
      </x:c>
      <x:c r="D54" s="27" t="str">
        <x:v>core_condition_knowledge</x:v>
      </x:c>
      <x:c r="E54" s="27" t="str">
        <x:v>not_materially_comparable</x:v>
      </x:c>
      <x:c r="F54" s="27" t="str">
        <x:v>different_condition; different_disease_state; guideline_vs_primary_study</x:v>
      </x:c>
      <x:c r="G54" s="27" t="str">
        <x:v>One or both records are source-methodology/context sentences rather than competing clinical findings; the shared broad topic created a false-positive comparison.</x:v>
      </x:c>
      <x:c r="H54" s="27" t="str">
        <x:v>Yes</x:v>
      </x:c>
      <x:c r="I54" s="27" t="str">
        <x:v>No priority—review each claim independently</x:v>
      </x:c>
      <x:c r="J54" s="27" t="str">
        <x:v>Yes</x:v>
      </x:c>
      <x:c r="K54" s="27" t="str">
        <x:v>Do not adjudicate this as a true conflict. Reject non-substantive claims or review revised wording independently.</x:v>
      </x:c>
      <x:c r="L54" s="27" t="str">
        <x:v>Yes</x:v>
      </x:c>
      <x:c r="M54" s="27" t="str">
        <x:v>Yes</x:v>
      </x:c>
      <x:c r="N54" s="27" t="str">
        <x:v>Review source records</x:v>
      </x:c>
      <x:c r="O54" s="27" t="str">
        <x:v>Yes</x:v>
      </x:c>
      <x:c r="P54" s="27" t="str">
        <x:v>No</x:v>
      </x:c>
      <x:c r="Q54" s="27" t="str">
        <x:v>Review source-level regional applicability</x:v>
      </x:c>
      <x:c r="R54" s="27" t="str">
        <x:v>Potentially non-comparable findings; do not silently merge.</x:v>
      </x:c>
    </x:row>
    <x:row r="55" ht="72" customHeight="1">
      <x:c r="A55" s="27" t="str">
        <x:v>CON-051</x:v>
      </x:c>
      <x:c r="B55" s="27" t="str">
        <x:v>CLM-002; CLM-090</x:v>
      </x:c>
      <x:c r="C55" s="27" t="str">
        <x:v>SRC-001; SRC-024</x:v>
      </x:c>
      <x:c r="D55" s="27" t="str">
        <x:v>core_condition_knowledge</x:v>
      </x:c>
      <x:c r="E55" s="27" t="str">
        <x:v>not_materially_comparable</x:v>
      </x:c>
      <x:c r="F55" s="27" t="str">
        <x:v>different_condition; different_disease_state; guideline_vs_primary_study</x:v>
      </x:c>
      <x:c r="G55" s="27" t="str">
        <x:v>One or both records are source-methodology/context sentences rather than competing clinical findings; the shared broad topic created a false-positive comparison.</x:v>
      </x:c>
      <x:c r="H55" s="27" t="str">
        <x:v>Yes</x:v>
      </x:c>
      <x:c r="I55" s="27" t="str">
        <x:v>No priority—review each claim independently</x:v>
      </x:c>
      <x:c r="J55" s="27" t="str">
        <x:v>Yes</x:v>
      </x:c>
      <x:c r="K55" s="27" t="str">
        <x:v>Do not adjudicate this as a true conflict. Reject non-substantive claims or review revised wording independently.</x:v>
      </x:c>
      <x:c r="L55" s="27" t="str">
        <x:v>Yes</x:v>
      </x:c>
      <x:c r="M55" s="27" t="str">
        <x:v>Yes</x:v>
      </x:c>
      <x:c r="N55" s="27" t="str">
        <x:v>Review source records</x:v>
      </x:c>
      <x:c r="O55" s="27" t="str">
        <x:v>Yes</x:v>
      </x:c>
      <x:c r="P55" s="27" t="str">
        <x:v>No</x:v>
      </x:c>
      <x:c r="Q55" s="27" t="str">
        <x:v>Review source-level regional applicability</x:v>
      </x:c>
      <x:c r="R55" s="27" t="str">
        <x:v>Potentially non-comparable findings; do not silently merge.</x:v>
      </x:c>
    </x:row>
    <x:row r="56" ht="72" customHeight="1">
      <x:c r="A56" s="27" t="str">
        <x:v>CON-052</x:v>
      </x:c>
      <x:c r="B56" s="27" t="str">
        <x:v>CLM-002; CLM-091</x:v>
      </x:c>
      <x:c r="C56" s="27" t="str">
        <x:v>SRC-001; SRC-024</x:v>
      </x:c>
      <x:c r="D56" s="27" t="str">
        <x:v>core_condition_knowledge</x:v>
      </x:c>
      <x:c r="E56" s="27" t="str">
        <x:v>not_materially_comparable</x:v>
      </x:c>
      <x:c r="F56" s="27" t="str">
        <x:v>different_condition; different_disease_state; guideline_vs_primary_study</x:v>
      </x:c>
      <x:c r="G56" s="27" t="str">
        <x:v>One or both records are source-methodology/context sentences rather than competing clinical findings; the shared broad topic created a false-positive comparison.</x:v>
      </x:c>
      <x:c r="H56" s="27" t="str">
        <x:v>Yes</x:v>
      </x:c>
      <x:c r="I56" s="27" t="str">
        <x:v>No priority—review each claim independently</x:v>
      </x:c>
      <x:c r="J56" s="27" t="str">
        <x:v>Yes</x:v>
      </x:c>
      <x:c r="K56" s="27" t="str">
        <x:v>Do not adjudicate this as a true conflict. Reject non-substantive claims or review revised wording independently.</x:v>
      </x:c>
      <x:c r="L56" s="27" t="str">
        <x:v>Yes</x:v>
      </x:c>
      <x:c r="M56" s="27" t="str">
        <x:v>Yes</x:v>
      </x:c>
      <x:c r="N56" s="27" t="str">
        <x:v>Review source records</x:v>
      </x:c>
      <x:c r="O56" s="27" t="str">
        <x:v>Yes</x:v>
      </x:c>
      <x:c r="P56" s="27" t="str">
        <x:v>No</x:v>
      </x:c>
      <x:c r="Q56" s="27" t="str">
        <x:v>Review source-level regional applicability</x:v>
      </x:c>
      <x:c r="R56" s="27" t="str">
        <x:v>Potentially non-comparable findings; do not silently merge.</x:v>
      </x:c>
    </x:row>
    <x:row r="57" ht="72" customHeight="1">
      <x:c r="A57" s="27" t="str">
        <x:v>CON-053</x:v>
      </x:c>
      <x:c r="B57" s="27" t="str">
        <x:v>CLM-002; CLM-092</x:v>
      </x:c>
      <x:c r="C57" s="27" t="str">
        <x:v>SRC-001; SRC-024</x:v>
      </x:c>
      <x:c r="D57" s="27" t="str">
        <x:v>core_condition_knowledge</x:v>
      </x:c>
      <x:c r="E57" s="27" t="str">
        <x:v>not_materially_comparable</x:v>
      </x:c>
      <x:c r="F57" s="27" t="str">
        <x:v>different_condition; different_disease_state; guideline_vs_primary_study</x:v>
      </x:c>
      <x:c r="G57" s="27" t="str">
        <x:v>One or both records are source-methodology/context sentences rather than competing clinical findings; the shared broad topic created a false-positive comparison.</x:v>
      </x:c>
      <x:c r="H57" s="27" t="str">
        <x:v>Yes</x:v>
      </x:c>
      <x:c r="I57" s="27" t="str">
        <x:v>No priority—review each claim independently</x:v>
      </x:c>
      <x:c r="J57" s="27" t="str">
        <x:v>Yes</x:v>
      </x:c>
      <x:c r="K57" s="27" t="str">
        <x:v>Do not adjudicate this as a true conflict. Reject non-substantive claims or review revised wording independently.</x:v>
      </x:c>
      <x:c r="L57" s="27" t="str">
        <x:v>Yes</x:v>
      </x:c>
      <x:c r="M57" s="27" t="str">
        <x:v>Yes</x:v>
      </x:c>
      <x:c r="N57" s="27" t="str">
        <x:v>Review source records</x:v>
      </x:c>
      <x:c r="O57" s="27" t="str">
        <x:v>Yes</x:v>
      </x:c>
      <x:c r="P57" s="27" t="str">
        <x:v>No</x:v>
      </x:c>
      <x:c r="Q57" s="27" t="str">
        <x:v>Review source-level regional applicability</x:v>
      </x:c>
      <x:c r="R57" s="27" t="str">
        <x:v>Potentially non-comparable findings; do not silently merge.</x:v>
      </x:c>
    </x:row>
    <x:row r="58" ht="72" customHeight="1">
      <x:c r="A58" s="27" t="str">
        <x:v>CON-054</x:v>
      </x:c>
      <x:c r="B58" s="27" t="str">
        <x:v>CLM-003; CLM-012</x:v>
      </x:c>
      <x:c r="C58" s="27" t="str">
        <x:v>SRC-001; SRC-003</x:v>
      </x:c>
      <x:c r="D58" s="27" t="str">
        <x:v>core_condition_knowledge</x:v>
      </x:c>
      <x:c r="E58" s="27" t="str">
        <x:v>not_materially_comparable</x:v>
      </x:c>
      <x:c r="F58" s="27" t="str">
        <x:v>different_condition</x:v>
      </x:c>
      <x:c r="G58" s="27" t="str">
        <x:v>One or both records are source-methodology/context sentences rather than competing clinical findings; the shared broad topic created a false-positive comparison.</x:v>
      </x:c>
      <x:c r="H58" s="27" t="str">
        <x:v>Yes</x:v>
      </x:c>
      <x:c r="I58" s="27" t="str">
        <x:v>No priority—review each claim independently</x:v>
      </x:c>
      <x:c r="J58" s="27" t="str">
        <x:v>Yes</x:v>
      </x:c>
      <x:c r="K58" s="27" t="str">
        <x:v>Do not adjudicate this as a true conflict. Reject non-substantive claims or review revised wording independently.</x:v>
      </x:c>
      <x:c r="L58" s="27" t="str">
        <x:v>Yes</x:v>
      </x:c>
      <x:c r="M58" s="27" t="str">
        <x:v>No</x:v>
      </x:c>
      <x:c r="N58" s="27" t="str">
        <x:v>Review source records</x:v>
      </x:c>
      <x:c r="O58" s="27" t="str">
        <x:v>No</x:v>
      </x:c>
      <x:c r="P58" s="27" t="str">
        <x:v>No</x:v>
      </x:c>
      <x:c r="Q58" s="27" t="str">
        <x:v>Review source-level regional applicability</x:v>
      </x:c>
      <x:c r="R58" s="27" t="str">
        <x:v>Potentially non-comparable findings; do not silently merge.</x:v>
      </x:c>
    </x:row>
    <x:row r="59" ht="72" customHeight="1">
      <x:c r="A59" s="27" t="str">
        <x:v>CON-055</x:v>
      </x:c>
      <x:c r="B59" s="27" t="str">
        <x:v>CLM-003; CLM-016</x:v>
      </x:c>
      <x:c r="C59" s="27" t="str">
        <x:v>SRC-001; SRC-004</x:v>
      </x:c>
      <x:c r="D59" s="27" t="str">
        <x:v>core_condition_knowledge</x:v>
      </x:c>
      <x:c r="E59" s="27" t="str">
        <x:v>not_materially_comparable</x:v>
      </x:c>
      <x:c r="F59" s="27" t="str">
        <x:v>different_condition; guideline_vs_primary_study</x:v>
      </x:c>
      <x:c r="G59" s="27" t="str">
        <x:v>One or both records are source-methodology/context sentences rather than competing clinical findings; the shared broad topic created a false-positive comparison.</x:v>
      </x:c>
      <x:c r="H59" s="27" t="str">
        <x:v>Yes</x:v>
      </x:c>
      <x:c r="I59" s="27" t="str">
        <x:v>No priority—review each claim independently</x:v>
      </x:c>
      <x:c r="J59" s="27" t="str">
        <x:v>Yes</x:v>
      </x:c>
      <x:c r="K59" s="27" t="str">
        <x:v>Do not adjudicate this as a true conflict. Reject non-substantive claims or review revised wording independently.</x:v>
      </x:c>
      <x:c r="L59" s="27" t="str">
        <x:v>Yes</x:v>
      </x:c>
      <x:c r="M59" s="27" t="str">
        <x:v>No</x:v>
      </x:c>
      <x:c r="N59" s="27" t="str">
        <x:v>Review source records</x:v>
      </x:c>
      <x:c r="O59" s="27" t="str">
        <x:v>Yes</x:v>
      </x:c>
      <x:c r="P59" s="27" t="str">
        <x:v>No</x:v>
      </x:c>
      <x:c r="Q59" s="27" t="str">
        <x:v>Review source-level regional applicability</x:v>
      </x:c>
      <x:c r="R59" s="27" t="str">
        <x:v>Potentially non-comparable findings; do not silently merge.</x:v>
      </x:c>
    </x:row>
    <x:row r="60" ht="72" customHeight="1">
      <x:c r="A60" s="27" t="str">
        <x:v>CON-056</x:v>
      </x:c>
      <x:c r="B60" s="27" t="str">
        <x:v>CLM-003; CLM-027</x:v>
      </x:c>
      <x:c r="C60" s="27" t="str">
        <x:v>SRC-001; SRC-007</x:v>
      </x:c>
      <x:c r="D60" s="27" t="str">
        <x:v>core_condition_knowledge</x:v>
      </x:c>
      <x:c r="E60" s="27" t="str">
        <x:v>not_materially_comparable</x:v>
      </x:c>
      <x:c r="F60" s="27" t="str">
        <x:v>different_condition; guideline_vs_primary_study</x:v>
      </x:c>
      <x:c r="G60" s="27" t="str">
        <x:v>One or both records are source-methodology/context sentences rather than competing clinical findings; the shared broad topic created a false-positive comparison.</x:v>
      </x:c>
      <x:c r="H60" s="27" t="str">
        <x:v>Yes</x:v>
      </x:c>
      <x:c r="I60" s="27" t="str">
        <x:v>No priority—review each claim independently</x:v>
      </x:c>
      <x:c r="J60" s="27" t="str">
        <x:v>Yes</x:v>
      </x:c>
      <x:c r="K60" s="27" t="str">
        <x:v>Do not adjudicate this as a true conflict. Reject non-substantive claims or review revised wording independently.</x:v>
      </x:c>
      <x:c r="L60" s="27" t="str">
        <x:v>Yes</x:v>
      </x:c>
      <x:c r="M60" s="27" t="str">
        <x:v>No</x:v>
      </x:c>
      <x:c r="N60" s="27" t="str">
        <x:v>Review source records</x:v>
      </x:c>
      <x:c r="O60" s="27" t="str">
        <x:v>Yes</x:v>
      </x:c>
      <x:c r="P60" s="27" t="str">
        <x:v>No</x:v>
      </x:c>
      <x:c r="Q60" s="27" t="str">
        <x:v>Review source-level regional applicability</x:v>
      </x:c>
      <x:c r="R60" s="27" t="str">
        <x:v>Potentially non-comparable findings; do not silently merge.</x:v>
      </x:c>
    </x:row>
    <x:row r="61" ht="72" customHeight="1">
      <x:c r="A61" s="27" t="str">
        <x:v>CON-057</x:v>
      </x:c>
      <x:c r="B61" s="27" t="str">
        <x:v>CLM-003; CLM-028</x:v>
      </x:c>
      <x:c r="C61" s="27" t="str">
        <x:v>SRC-001; SRC-007</x:v>
      </x:c>
      <x:c r="D61" s="27" t="str">
        <x:v>core_condition_knowledge</x:v>
      </x:c>
      <x:c r="E61" s="27" t="str">
        <x:v>not_materially_comparable</x:v>
      </x:c>
      <x:c r="F61" s="27" t="str">
        <x:v>different_condition; guideline_vs_primary_study</x:v>
      </x:c>
      <x:c r="G61" s="27" t="str">
        <x:v>One or both records are source-methodology/context sentences rather than competing clinical findings; the shared broad topic created a false-positive comparison.</x:v>
      </x:c>
      <x:c r="H61" s="27" t="str">
        <x:v>Yes</x:v>
      </x:c>
      <x:c r="I61" s="27" t="str">
        <x:v>No priority—review each claim independently</x:v>
      </x:c>
      <x:c r="J61" s="27" t="str">
        <x:v>Yes</x:v>
      </x:c>
      <x:c r="K61" s="27" t="str">
        <x:v>Do not adjudicate this as a true conflict. Reject non-substantive claims or review revised wording independently.</x:v>
      </x:c>
      <x:c r="L61" s="27" t="str">
        <x:v>Yes</x:v>
      </x:c>
      <x:c r="M61" s="27" t="str">
        <x:v>No</x:v>
      </x:c>
      <x:c r="N61" s="27" t="str">
        <x:v>Review source records</x:v>
      </x:c>
      <x:c r="O61" s="27" t="str">
        <x:v>Yes</x:v>
      </x:c>
      <x:c r="P61" s="27" t="str">
        <x:v>No</x:v>
      </x:c>
      <x:c r="Q61" s="27" t="str">
        <x:v>Review source-level regional applicability</x:v>
      </x:c>
      <x:c r="R61" s="27" t="str">
        <x:v>Potentially non-comparable findings; do not silently merge.</x:v>
      </x:c>
    </x:row>
    <x:row r="62" ht="72" customHeight="1">
      <x:c r="A62" s="27" t="str">
        <x:v>CON-058</x:v>
      </x:c>
      <x:c r="B62" s="27" t="str">
        <x:v>CLM-003; CLM-045</x:v>
      </x:c>
      <x:c r="C62" s="27" t="str">
        <x:v>SRC-001; SRC-012</x:v>
      </x:c>
      <x:c r="D62" s="27" t="str">
        <x:v>core_condition_knowledge</x:v>
      </x:c>
      <x:c r="E62" s="27" t="str">
        <x:v>not_materially_comparable</x:v>
      </x:c>
      <x:c r="F62" s="27" t="str">
        <x:v>different_condition; guideline_vs_primary_study</x:v>
      </x:c>
      <x:c r="G62" s="27" t="str">
        <x:v>One or both records are source-methodology/context sentences rather than competing clinical findings; the shared broad topic created a false-positive comparison.</x:v>
      </x:c>
      <x:c r="H62" s="27" t="str">
        <x:v>Yes</x:v>
      </x:c>
      <x:c r="I62" s="27" t="str">
        <x:v>No priority—review each claim independently</x:v>
      </x:c>
      <x:c r="J62" s="27" t="str">
        <x:v>Yes</x:v>
      </x:c>
      <x:c r="K62" s="27" t="str">
        <x:v>Do not adjudicate this as a true conflict. Reject non-substantive claims or review revised wording independently.</x:v>
      </x:c>
      <x:c r="L62" s="27" t="str">
        <x:v>Yes</x:v>
      </x:c>
      <x:c r="M62" s="27" t="str">
        <x:v>No</x:v>
      </x:c>
      <x:c r="N62" s="27" t="str">
        <x:v>Review source records</x:v>
      </x:c>
      <x:c r="O62" s="27" t="str">
        <x:v>Yes</x:v>
      </x:c>
      <x:c r="P62" s="27" t="str">
        <x:v>No</x:v>
      </x:c>
      <x:c r="Q62" s="27" t="str">
        <x:v>Review source-level regional applicability</x:v>
      </x:c>
      <x:c r="R62" s="27" t="str">
        <x:v>Potentially non-comparable findings; do not silently merge.</x:v>
      </x:c>
    </x:row>
    <x:row r="63" ht="72" customHeight="1">
      <x:c r="A63" s="27" t="str">
        <x:v>CON-059</x:v>
      </x:c>
      <x:c r="B63" s="27" t="str">
        <x:v>CLM-003; CLM-054</x:v>
      </x:c>
      <x:c r="C63" s="27" t="str">
        <x:v>SRC-001; SRC-014</x:v>
      </x:c>
      <x:c r="D63" s="27" t="str">
        <x:v>core_condition_knowledge</x:v>
      </x:c>
      <x:c r="E63" s="27" t="str">
        <x:v>not_materially_comparable</x:v>
      </x:c>
      <x:c r="F63" s="27" t="str">
        <x:v>different_condition; guideline_vs_primary_study</x:v>
      </x:c>
      <x:c r="G63" s="27" t="str">
        <x:v>One or both records are source-methodology/context sentences rather than competing clinical findings; the shared broad topic created a false-positive comparison.</x:v>
      </x:c>
      <x:c r="H63" s="27" t="str">
        <x:v>Yes</x:v>
      </x:c>
      <x:c r="I63" s="27" t="str">
        <x:v>No priority—review each claim independently</x:v>
      </x:c>
      <x:c r="J63" s="27" t="str">
        <x:v>Yes</x:v>
      </x:c>
      <x:c r="K63" s="27" t="str">
        <x:v>Do not adjudicate this as a true conflict. Reject non-substantive claims or review revised wording independently.</x:v>
      </x:c>
      <x:c r="L63" s="27" t="str">
        <x:v>Yes</x:v>
      </x:c>
      <x:c r="M63" s="27" t="str">
        <x:v>No</x:v>
      </x:c>
      <x:c r="N63" s="27" t="str">
        <x:v>Review source records</x:v>
      </x:c>
      <x:c r="O63" s="27" t="str">
        <x:v>Yes</x:v>
      </x:c>
      <x:c r="P63" s="27" t="str">
        <x:v>No</x:v>
      </x:c>
      <x:c r="Q63" s="27" t="str">
        <x:v>Review source-level regional applicability</x:v>
      </x:c>
      <x:c r="R63" s="27" t="str">
        <x:v>Potentially non-comparable findings; do not silently merge.</x:v>
      </x:c>
    </x:row>
    <x:row r="64" ht="72" customHeight="1">
      <x:c r="A64" s="27" t="str">
        <x:v>CON-060</x:v>
      </x:c>
      <x:c r="B64" s="27" t="str">
        <x:v>CLM-003; CLM-055</x:v>
      </x:c>
      <x:c r="C64" s="27" t="str">
        <x:v>SRC-001; SRC-014</x:v>
      </x:c>
      <x:c r="D64" s="27" t="str">
        <x:v>core_condition_knowledge</x:v>
      </x:c>
      <x:c r="E64" s="27" t="str">
        <x:v>not_materially_comparable</x:v>
      </x:c>
      <x:c r="F64" s="27" t="str">
        <x:v>different_condition; guideline_vs_primary_study</x:v>
      </x:c>
      <x:c r="G64" s="27" t="str">
        <x:v>One or both records are source-methodology/context sentences rather than competing clinical findings; the shared broad topic created a false-positive comparison.</x:v>
      </x:c>
      <x:c r="H64" s="27" t="str">
        <x:v>Yes</x:v>
      </x:c>
      <x:c r="I64" s="27" t="str">
        <x:v>No priority—review each claim independently</x:v>
      </x:c>
      <x:c r="J64" s="27" t="str">
        <x:v>Yes</x:v>
      </x:c>
      <x:c r="K64" s="27" t="str">
        <x:v>Do not adjudicate this as a true conflict. Reject non-substantive claims or review revised wording independently.</x:v>
      </x:c>
      <x:c r="L64" s="27" t="str">
        <x:v>Yes</x:v>
      </x:c>
      <x:c r="M64" s="27" t="str">
        <x:v>No</x:v>
      </x:c>
      <x:c r="N64" s="27" t="str">
        <x:v>Review source records</x:v>
      </x:c>
      <x:c r="O64" s="27" t="str">
        <x:v>Yes</x:v>
      </x:c>
      <x:c r="P64" s="27" t="str">
        <x:v>No</x:v>
      </x:c>
      <x:c r="Q64" s="27" t="str">
        <x:v>Review source-level regional applicability</x:v>
      </x:c>
      <x:c r="R64" s="27" t="str">
        <x:v>Potentially non-comparable findings; do not silently merge.</x:v>
      </x:c>
    </x:row>
    <x:row r="65" ht="72" customHeight="1">
      <x:c r="A65" s="27" t="str">
        <x:v>CON-061</x:v>
      </x:c>
      <x:c r="B65" s="27" t="str">
        <x:v>CLM-003; CLM-058</x:v>
      </x:c>
      <x:c r="C65" s="27" t="str">
        <x:v>SRC-001; SRC-015</x:v>
      </x:c>
      <x:c r="D65" s="27" t="str">
        <x:v>core_condition_knowledge</x:v>
      </x:c>
      <x:c r="E65" s="27" t="str">
        <x:v>not_materially_comparable</x:v>
      </x:c>
      <x:c r="F65" s="27" t="str">
        <x:v>different_condition; guideline_vs_primary_study</x:v>
      </x:c>
      <x:c r="G65" s="27" t="str">
        <x:v>One or both records are source-methodology/context sentences rather than competing clinical findings; the shared broad topic created a false-positive comparison.</x:v>
      </x:c>
      <x:c r="H65" s="27" t="str">
        <x:v>Yes</x:v>
      </x:c>
      <x:c r="I65" s="27" t="str">
        <x:v>No priority—review each claim independently</x:v>
      </x:c>
      <x:c r="J65" s="27" t="str">
        <x:v>Yes</x:v>
      </x:c>
      <x:c r="K65" s="27" t="str">
        <x:v>Do not adjudicate this as a true conflict. Reject non-substantive claims or review revised wording independently.</x:v>
      </x:c>
      <x:c r="L65" s="27" t="str">
        <x:v>Yes</x:v>
      </x:c>
      <x:c r="M65" s="27" t="str">
        <x:v>No</x:v>
      </x:c>
      <x:c r="N65" s="27" t="str">
        <x:v>Review source records</x:v>
      </x:c>
      <x:c r="O65" s="27" t="str">
        <x:v>Yes</x:v>
      </x:c>
      <x:c r="P65" s="27" t="str">
        <x:v>No</x:v>
      </x:c>
      <x:c r="Q65" s="27" t="str">
        <x:v>Review source-level regional applicability</x:v>
      </x:c>
      <x:c r="R65" s="27" t="str">
        <x:v>Potentially non-comparable findings; do not silently merge.</x:v>
      </x:c>
    </x:row>
    <x:row r="66" ht="72" customHeight="1">
      <x:c r="A66" s="27" t="str">
        <x:v>CON-062</x:v>
      </x:c>
      <x:c r="B66" s="27" t="str">
        <x:v>CLM-003; CLM-059</x:v>
      </x:c>
      <x:c r="C66" s="27" t="str">
        <x:v>SRC-001; SRC-015</x:v>
      </x:c>
      <x:c r="D66" s="27" t="str">
        <x:v>core_condition_knowledge</x:v>
      </x:c>
      <x:c r="E66" s="27" t="str">
        <x:v>not_materially_comparable</x:v>
      </x:c>
      <x:c r="F66" s="27" t="str">
        <x:v>different_condition; guideline_vs_primary_study</x:v>
      </x:c>
      <x:c r="G66" s="27" t="str">
        <x:v>One or both records are source-methodology/context sentences rather than competing clinical findings; the shared broad topic created a false-positive comparison.</x:v>
      </x:c>
      <x:c r="H66" s="27" t="str">
        <x:v>Yes</x:v>
      </x:c>
      <x:c r="I66" s="27" t="str">
        <x:v>No priority—review each claim independently</x:v>
      </x:c>
      <x:c r="J66" s="27" t="str">
        <x:v>Yes</x:v>
      </x:c>
      <x:c r="K66" s="27" t="str">
        <x:v>Do not adjudicate this as a true conflict. Reject non-substantive claims or review revised wording independently.</x:v>
      </x:c>
      <x:c r="L66" s="27" t="str">
        <x:v>Yes</x:v>
      </x:c>
      <x:c r="M66" s="27" t="str">
        <x:v>No</x:v>
      </x:c>
      <x:c r="N66" s="27" t="str">
        <x:v>Review source records</x:v>
      </x:c>
      <x:c r="O66" s="27" t="str">
        <x:v>Yes</x:v>
      </x:c>
      <x:c r="P66" s="27" t="str">
        <x:v>No</x:v>
      </x:c>
      <x:c r="Q66" s="27" t="str">
        <x:v>Review source-level regional applicability</x:v>
      </x:c>
      <x:c r="R66" s="27" t="str">
        <x:v>Potentially non-comparable findings; do not silently merge.</x:v>
      </x:c>
    </x:row>
    <x:row r="67" ht="72" customHeight="1">
      <x:c r="A67" s="27" t="str">
        <x:v>CON-063</x:v>
      </x:c>
      <x:c r="B67" s="27" t="str">
        <x:v>CLM-003; CLM-060</x:v>
      </x:c>
      <x:c r="C67" s="27" t="str">
        <x:v>SRC-001; SRC-015</x:v>
      </x:c>
      <x:c r="D67" s="27" t="str">
        <x:v>core_condition_knowledge</x:v>
      </x:c>
      <x:c r="E67" s="27" t="str">
        <x:v>not_materially_comparable</x:v>
      </x:c>
      <x:c r="F67" s="27" t="str">
        <x:v>different_condition; guideline_vs_primary_study</x:v>
      </x:c>
      <x:c r="G67" s="27" t="str">
        <x:v>One or both records are source-methodology/context sentences rather than competing clinical findings; the shared broad topic created a false-positive comparison.</x:v>
      </x:c>
      <x:c r="H67" s="27" t="str">
        <x:v>Yes</x:v>
      </x:c>
      <x:c r="I67" s="27" t="str">
        <x:v>No priority—review each claim independently</x:v>
      </x:c>
      <x:c r="J67" s="27" t="str">
        <x:v>Yes</x:v>
      </x:c>
      <x:c r="K67" s="27" t="str">
        <x:v>Do not adjudicate this as a true conflict. Reject non-substantive claims or review revised wording independently.</x:v>
      </x:c>
      <x:c r="L67" s="27" t="str">
        <x:v>Yes</x:v>
      </x:c>
      <x:c r="M67" s="27" t="str">
        <x:v>No</x:v>
      </x:c>
      <x:c r="N67" s="27" t="str">
        <x:v>Review source records</x:v>
      </x:c>
      <x:c r="O67" s="27" t="str">
        <x:v>Yes</x:v>
      </x:c>
      <x:c r="P67" s="27" t="str">
        <x:v>No</x:v>
      </x:c>
      <x:c r="Q67" s="27" t="str">
        <x:v>Review source-level regional applicability</x:v>
      </x:c>
      <x:c r="R67" s="27" t="str">
        <x:v>Potentially non-comparable findings; do not silently merge.</x:v>
      </x:c>
    </x:row>
    <x:row r="68" ht="72" customHeight="1">
      <x:c r="A68" s="27" t="str">
        <x:v>CON-064</x:v>
      </x:c>
      <x:c r="B68" s="27" t="str">
        <x:v>CLM-003; CLM-063</x:v>
      </x:c>
      <x:c r="C68" s="27" t="str">
        <x:v>SRC-001; SRC-016</x:v>
      </x:c>
      <x:c r="D68" s="27" t="str">
        <x:v>core_condition_knowledge</x:v>
      </x:c>
      <x:c r="E68" s="27" t="str">
        <x:v>not_materially_comparable</x:v>
      </x:c>
      <x:c r="F68" s="27" t="str">
        <x:v>different_condition; guideline_vs_primary_study</x:v>
      </x:c>
      <x:c r="G68" s="27" t="str">
        <x:v>One or both records are source-methodology/context sentences rather than competing clinical findings; the shared broad topic created a false-positive comparison.</x:v>
      </x:c>
      <x:c r="H68" s="27" t="str">
        <x:v>Yes</x:v>
      </x:c>
      <x:c r="I68" s="27" t="str">
        <x:v>No priority—review each claim independently</x:v>
      </x:c>
      <x:c r="J68" s="27" t="str">
        <x:v>Yes</x:v>
      </x:c>
      <x:c r="K68" s="27" t="str">
        <x:v>Do not adjudicate this as a true conflict. Reject non-substantive claims or review revised wording independently.</x:v>
      </x:c>
      <x:c r="L68" s="27" t="str">
        <x:v>Yes</x:v>
      </x:c>
      <x:c r="M68" s="27" t="str">
        <x:v>No</x:v>
      </x:c>
      <x:c r="N68" s="27" t="str">
        <x:v>Review source records</x:v>
      </x:c>
      <x:c r="O68" s="27" t="str">
        <x:v>Yes</x:v>
      </x:c>
      <x:c r="P68" s="27" t="str">
        <x:v>No</x:v>
      </x:c>
      <x:c r="Q68" s="27" t="str">
        <x:v>Review source-level regional applicability</x:v>
      </x:c>
      <x:c r="R68" s="27" t="str">
        <x:v>Potentially non-comparable findings; do not silently merge.</x:v>
      </x:c>
    </x:row>
    <x:row r="69" ht="72" customHeight="1">
      <x:c r="A69" s="27" t="str">
        <x:v>CON-065</x:v>
      </x:c>
      <x:c r="B69" s="27" t="str">
        <x:v>CLM-003; CLM-067</x:v>
      </x:c>
      <x:c r="C69" s="27" t="str">
        <x:v>SRC-001; SRC-017</x:v>
      </x:c>
      <x:c r="D69" s="27" t="str">
        <x:v>core_condition_knowledge</x:v>
      </x:c>
      <x:c r="E69" s="27" t="str">
        <x:v>not_materially_comparable</x:v>
      </x:c>
      <x:c r="F69" s="27" t="str">
        <x:v>different_condition; different_disease_state; guideline_vs_primary_study</x:v>
      </x:c>
      <x:c r="G69" s="27" t="str">
        <x:v>One or both records are source-methodology/context sentences rather than competing clinical findings; the shared broad topic created a false-positive comparison.</x:v>
      </x:c>
      <x:c r="H69" s="27" t="str">
        <x:v>Yes</x:v>
      </x:c>
      <x:c r="I69" s="27" t="str">
        <x:v>No priority—review each claim independently</x:v>
      </x:c>
      <x:c r="J69" s="27" t="str">
        <x:v>Yes</x:v>
      </x:c>
      <x:c r="K69" s="27" t="str">
        <x:v>Do not adjudicate this as a true conflict. Reject non-substantive claims or review revised wording independently.</x:v>
      </x:c>
      <x:c r="L69" s="27" t="str">
        <x:v>Yes</x:v>
      </x:c>
      <x:c r="M69" s="27" t="str">
        <x:v>Yes</x:v>
      </x:c>
      <x:c r="N69" s="27" t="str">
        <x:v>Review source records</x:v>
      </x:c>
      <x:c r="O69" s="27" t="str">
        <x:v>Yes</x:v>
      </x:c>
      <x:c r="P69" s="27" t="str">
        <x:v>No</x:v>
      </x:c>
      <x:c r="Q69" s="27" t="str">
        <x:v>Review source-level regional applicability</x:v>
      </x:c>
      <x:c r="R69" s="27" t="str">
        <x:v>Potentially non-comparable findings; do not silently merge.</x:v>
      </x:c>
    </x:row>
    <x:row r="70" ht="72" customHeight="1">
      <x:c r="A70" s="27" t="str">
        <x:v>CON-066</x:v>
      </x:c>
      <x:c r="B70" s="27" t="str">
        <x:v>CLM-003; CLM-068</x:v>
      </x:c>
      <x:c r="C70" s="27" t="str">
        <x:v>SRC-001; SRC-017</x:v>
      </x:c>
      <x:c r="D70" s="27" t="str">
        <x:v>core_condition_knowledge</x:v>
      </x:c>
      <x:c r="E70" s="27" t="str">
        <x:v>not_materially_comparable</x:v>
      </x:c>
      <x:c r="F70" s="27" t="str">
        <x:v>different_condition; guideline_vs_primary_study</x:v>
      </x:c>
      <x:c r="G70" s="27" t="str">
        <x:v>One or both records are source-methodology/context sentences rather than competing clinical findings; the shared broad topic created a false-positive comparison.</x:v>
      </x:c>
      <x:c r="H70" s="27" t="str">
        <x:v>Yes</x:v>
      </x:c>
      <x:c r="I70" s="27" t="str">
        <x:v>No priority—review each claim independently</x:v>
      </x:c>
      <x:c r="J70" s="27" t="str">
        <x:v>Yes</x:v>
      </x:c>
      <x:c r="K70" s="27" t="str">
        <x:v>Do not adjudicate this as a true conflict. Reject non-substantive claims or review revised wording independently.</x:v>
      </x:c>
      <x:c r="L70" s="27" t="str">
        <x:v>Yes</x:v>
      </x:c>
      <x:c r="M70" s="27" t="str">
        <x:v>No</x:v>
      </x:c>
      <x:c r="N70" s="27" t="str">
        <x:v>Review source records</x:v>
      </x:c>
      <x:c r="O70" s="27" t="str">
        <x:v>Yes</x:v>
      </x:c>
      <x:c r="P70" s="27" t="str">
        <x:v>No</x:v>
      </x:c>
      <x:c r="Q70" s="27" t="str">
        <x:v>Review source-level regional applicability</x:v>
      </x:c>
      <x:c r="R70" s="27" t="str">
        <x:v>Potentially non-comparable findings; do not silently merge.</x:v>
      </x:c>
    </x:row>
    <x:row r="71" ht="72" customHeight="1">
      <x:c r="A71" s="27" t="str">
        <x:v>CON-067</x:v>
      </x:c>
      <x:c r="B71" s="27" t="str">
        <x:v>CLM-003; CLM-081</x:v>
      </x:c>
      <x:c r="C71" s="27" t="str">
        <x:v>SRC-001; SRC-021</x:v>
      </x:c>
      <x:c r="D71" s="27" t="str">
        <x:v>core_condition_knowledge</x:v>
      </x:c>
      <x:c r="E71" s="27" t="str">
        <x:v>not_materially_comparable</x:v>
      </x:c>
      <x:c r="F71" s="27" t="str">
        <x:v>different_condition; guideline_vs_primary_study</x:v>
      </x:c>
      <x:c r="G71" s="27" t="str">
        <x:v>One or both records are source-methodology/context sentences rather than competing clinical findings; the shared broad topic created a false-positive comparison.</x:v>
      </x:c>
      <x:c r="H71" s="27" t="str">
        <x:v>Yes</x:v>
      </x:c>
      <x:c r="I71" s="27" t="str">
        <x:v>No priority—review each claim independently</x:v>
      </x:c>
      <x:c r="J71" s="27" t="str">
        <x:v>Yes</x:v>
      </x:c>
      <x:c r="K71" s="27" t="str">
        <x:v>Do not adjudicate this as a true conflict. Reject non-substantive claims or review revised wording independently.</x:v>
      </x:c>
      <x:c r="L71" s="27" t="str">
        <x:v>Yes</x:v>
      </x:c>
      <x:c r="M71" s="27" t="str">
        <x:v>No</x:v>
      </x:c>
      <x:c r="N71" s="27" t="str">
        <x:v>Review source records</x:v>
      </x:c>
      <x:c r="O71" s="27" t="str">
        <x:v>Yes</x:v>
      </x:c>
      <x:c r="P71" s="27" t="str">
        <x:v>No</x:v>
      </x:c>
      <x:c r="Q71" s="27" t="str">
        <x:v>Review source-level regional applicability</x:v>
      </x:c>
      <x:c r="R71" s="27" t="str">
        <x:v>Potentially non-comparable findings; do not silently merge.</x:v>
      </x:c>
    </x:row>
    <x:row r="72" ht="72" customHeight="1">
      <x:c r="A72" s="27" t="str">
        <x:v>CON-068</x:v>
      </x:c>
      <x:c r="B72" s="27" t="str">
        <x:v>CLM-003; CLM-082</x:v>
      </x:c>
      <x:c r="C72" s="27" t="str">
        <x:v>SRC-001; SRC-021</x:v>
      </x:c>
      <x:c r="D72" s="27" t="str">
        <x:v>core_condition_knowledge</x:v>
      </x:c>
      <x:c r="E72" s="27" t="str">
        <x:v>not_materially_comparable</x:v>
      </x:c>
      <x:c r="F72" s="27" t="str">
        <x:v>different_condition; guideline_vs_primary_study</x:v>
      </x:c>
      <x:c r="G72" s="27" t="str">
        <x:v>One or both records are source-methodology/context sentences rather than competing clinical findings; the shared broad topic created a false-positive comparison.</x:v>
      </x:c>
      <x:c r="H72" s="27" t="str">
        <x:v>Yes</x:v>
      </x:c>
      <x:c r="I72" s="27" t="str">
        <x:v>No priority—review each claim independently</x:v>
      </x:c>
      <x:c r="J72" s="27" t="str">
        <x:v>Yes</x:v>
      </x:c>
      <x:c r="K72" s="27" t="str">
        <x:v>Do not adjudicate this as a true conflict. Reject non-substantive claims or review revised wording independently.</x:v>
      </x:c>
      <x:c r="L72" s="27" t="str">
        <x:v>Yes</x:v>
      </x:c>
      <x:c r="M72" s="27" t="str">
        <x:v>No</x:v>
      </x:c>
      <x:c r="N72" s="27" t="str">
        <x:v>Review source records</x:v>
      </x:c>
      <x:c r="O72" s="27" t="str">
        <x:v>Yes</x:v>
      </x:c>
      <x:c r="P72" s="27" t="str">
        <x:v>No</x:v>
      </x:c>
      <x:c r="Q72" s="27" t="str">
        <x:v>Review source-level regional applicability</x:v>
      </x:c>
      <x:c r="R72" s="27" t="str">
        <x:v>Potentially non-comparable findings; do not silently merge.</x:v>
      </x:c>
    </x:row>
    <x:row r="73" ht="72" customHeight="1">
      <x:c r="A73" s="27" t="str">
        <x:v>CON-069</x:v>
      </x:c>
      <x:c r="B73" s="27" t="str">
        <x:v>CLM-003; CLM-084</x:v>
      </x:c>
      <x:c r="C73" s="27" t="str">
        <x:v>SRC-001; SRC-022</x:v>
      </x:c>
      <x:c r="D73" s="27" t="str">
        <x:v>core_condition_knowledge</x:v>
      </x:c>
      <x:c r="E73" s="27" t="str">
        <x:v>not_materially_comparable</x:v>
      </x:c>
      <x:c r="F73" s="27" t="str">
        <x:v>different_condition</x:v>
      </x:c>
      <x:c r="G73" s="27" t="str">
        <x:v>One or both records are source-methodology/context sentences rather than competing clinical findings; the shared broad topic created a false-positive comparison.</x:v>
      </x:c>
      <x:c r="H73" s="27" t="str">
        <x:v>Yes</x:v>
      </x:c>
      <x:c r="I73" s="27" t="str">
        <x:v>No priority—review each claim independently</x:v>
      </x:c>
      <x:c r="J73" s="27" t="str">
        <x:v>Yes</x:v>
      </x:c>
      <x:c r="K73" s="27" t="str">
        <x:v>Do not adjudicate this as a true conflict. Reject non-substantive claims or review revised wording independently.</x:v>
      </x:c>
      <x:c r="L73" s="27" t="str">
        <x:v>Yes</x:v>
      </x:c>
      <x:c r="M73" s="27" t="str">
        <x:v>No</x:v>
      </x:c>
      <x:c r="N73" s="27" t="str">
        <x:v>Review source records</x:v>
      </x:c>
      <x:c r="O73" s="27" t="str">
        <x:v>No</x:v>
      </x:c>
      <x:c r="P73" s="27" t="str">
        <x:v>No</x:v>
      </x:c>
      <x:c r="Q73" s="27" t="str">
        <x:v>Review source-level regional applicability</x:v>
      </x:c>
      <x:c r="R73" s="27" t="str">
        <x:v>Potentially non-comparable findings; do not silently merge.</x:v>
      </x:c>
    </x:row>
    <x:row r="74" ht="72" customHeight="1">
      <x:c r="A74" s="27" t="str">
        <x:v>CON-070</x:v>
      </x:c>
      <x:c r="B74" s="27" t="str">
        <x:v>CLM-003; CLM-085</x:v>
      </x:c>
      <x:c r="C74" s="27" t="str">
        <x:v>SRC-001; SRC-022</x:v>
      </x:c>
      <x:c r="D74" s="27" t="str">
        <x:v>core_condition_knowledge</x:v>
      </x:c>
      <x:c r="E74" s="27" t="str">
        <x:v>not_materially_comparable</x:v>
      </x:c>
      <x:c r="F74" s="27" t="str">
        <x:v>different_condition</x:v>
      </x:c>
      <x:c r="G74" s="27" t="str">
        <x:v>One or both records are source-methodology/context sentences rather than competing clinical findings; the shared broad topic created a false-positive comparison.</x:v>
      </x:c>
      <x:c r="H74" s="27" t="str">
        <x:v>Yes</x:v>
      </x:c>
      <x:c r="I74" s="27" t="str">
        <x:v>No priority—review each claim independently</x:v>
      </x:c>
      <x:c r="J74" s="27" t="str">
        <x:v>Yes</x:v>
      </x:c>
      <x:c r="K74" s="27" t="str">
        <x:v>Do not adjudicate this as a true conflict. Reject non-substantive claims or review revised wording independently.</x:v>
      </x:c>
      <x:c r="L74" s="27" t="str">
        <x:v>Yes</x:v>
      </x:c>
      <x:c r="M74" s="27" t="str">
        <x:v>No</x:v>
      </x:c>
      <x:c r="N74" s="27" t="str">
        <x:v>Review source records</x:v>
      </x:c>
      <x:c r="O74" s="27" t="str">
        <x:v>No</x:v>
      </x:c>
      <x:c r="P74" s="27" t="str">
        <x:v>No</x:v>
      </x:c>
      <x:c r="Q74" s="27" t="str">
        <x:v>Review source-level regional applicability</x:v>
      </x:c>
      <x:c r="R74" s="27" t="str">
        <x:v>Potentially non-comparable findings; do not silently merge.</x:v>
      </x:c>
    </x:row>
    <x:row r="75" ht="72" customHeight="1">
      <x:c r="A75" s="27" t="str">
        <x:v>CON-071</x:v>
      </x:c>
      <x:c r="B75" s="27" t="str">
        <x:v>CLM-003; CLM-089</x:v>
      </x:c>
      <x:c r="C75" s="27" t="str">
        <x:v>SRC-001; SRC-023</x:v>
      </x:c>
      <x:c r="D75" s="27" t="str">
        <x:v>core_condition_knowledge</x:v>
      </x:c>
      <x:c r="E75" s="27" t="str">
        <x:v>not_materially_comparable</x:v>
      </x:c>
      <x:c r="F75" s="27" t="str">
        <x:v>different_condition; guideline_vs_primary_study</x:v>
      </x:c>
      <x:c r="G75" s="27" t="str">
        <x:v>One or both records are source-methodology/context sentences rather than competing clinical findings; the shared broad topic created a false-positive comparison.</x:v>
      </x:c>
      <x:c r="H75" s="27" t="str">
        <x:v>Yes</x:v>
      </x:c>
      <x:c r="I75" s="27" t="str">
        <x:v>No priority—review each claim independently</x:v>
      </x:c>
      <x:c r="J75" s="27" t="str">
        <x:v>Yes</x:v>
      </x:c>
      <x:c r="K75" s="27" t="str">
        <x:v>Do not adjudicate this as a true conflict. Reject non-substantive claims or review revised wording independently.</x:v>
      </x:c>
      <x:c r="L75" s="27" t="str">
        <x:v>Yes</x:v>
      </x:c>
      <x:c r="M75" s="27" t="str">
        <x:v>No</x:v>
      </x:c>
      <x:c r="N75" s="27" t="str">
        <x:v>Review source records</x:v>
      </x:c>
      <x:c r="O75" s="27" t="str">
        <x:v>Yes</x:v>
      </x:c>
      <x:c r="P75" s="27" t="str">
        <x:v>No</x:v>
      </x:c>
      <x:c r="Q75" s="27" t="str">
        <x:v>Review source-level regional applicability</x:v>
      </x:c>
      <x:c r="R75" s="27" t="str">
        <x:v>Potentially non-comparable findings; do not silently merge.</x:v>
      </x:c>
    </x:row>
    <x:row r="76" ht="72" customHeight="1">
      <x:c r="A76" s="27" t="str">
        <x:v>CON-072</x:v>
      </x:c>
      <x:c r="B76" s="27" t="str">
        <x:v>CLM-003; CLM-090</x:v>
      </x:c>
      <x:c r="C76" s="27" t="str">
        <x:v>SRC-001; SRC-024</x:v>
      </x:c>
      <x:c r="D76" s="27" t="str">
        <x:v>core_condition_knowledge</x:v>
      </x:c>
      <x:c r="E76" s="27" t="str">
        <x:v>not_materially_comparable</x:v>
      </x:c>
      <x:c r="F76" s="27" t="str">
        <x:v>different_condition; guideline_vs_primary_study</x:v>
      </x:c>
      <x:c r="G76" s="27" t="str">
        <x:v>One or both records are source-methodology/context sentences rather than competing clinical findings; the shared broad topic created a false-positive comparison.</x:v>
      </x:c>
      <x:c r="H76" s="27" t="str">
        <x:v>Yes</x:v>
      </x:c>
      <x:c r="I76" s="27" t="str">
        <x:v>No priority—review each claim independently</x:v>
      </x:c>
      <x:c r="J76" s="27" t="str">
        <x:v>Yes</x:v>
      </x:c>
      <x:c r="K76" s="27" t="str">
        <x:v>Do not adjudicate this as a true conflict. Reject non-substantive claims or review revised wording independently.</x:v>
      </x:c>
      <x:c r="L76" s="27" t="str">
        <x:v>Yes</x:v>
      </x:c>
      <x:c r="M76" s="27" t="str">
        <x:v>No</x:v>
      </x:c>
      <x:c r="N76" s="27" t="str">
        <x:v>Review source records</x:v>
      </x:c>
      <x:c r="O76" s="27" t="str">
        <x:v>Yes</x:v>
      </x:c>
      <x:c r="P76" s="27" t="str">
        <x:v>No</x:v>
      </x:c>
      <x:c r="Q76" s="27" t="str">
        <x:v>Review source-level regional applicability</x:v>
      </x:c>
      <x:c r="R76" s="27" t="str">
        <x:v>Potentially non-comparable findings; do not silently merge.</x:v>
      </x:c>
    </x:row>
    <x:row r="77" ht="72" customHeight="1">
      <x:c r="A77" s="27" t="str">
        <x:v>CON-073</x:v>
      </x:c>
      <x:c r="B77" s="27" t="str">
        <x:v>CLM-003; CLM-091</x:v>
      </x:c>
      <x:c r="C77" s="27" t="str">
        <x:v>SRC-001; SRC-024</x:v>
      </x:c>
      <x:c r="D77" s="27" t="str">
        <x:v>core_condition_knowledge</x:v>
      </x:c>
      <x:c r="E77" s="27" t="str">
        <x:v>not_materially_comparable</x:v>
      </x:c>
      <x:c r="F77" s="27" t="str">
        <x:v>different_condition; different_disease_state; guideline_vs_primary_study</x:v>
      </x:c>
      <x:c r="G77" s="27" t="str">
        <x:v>One or both records are source-methodology/context sentences rather than competing clinical findings; the shared broad topic created a false-positive comparison.</x:v>
      </x:c>
      <x:c r="H77" s="27" t="str">
        <x:v>Yes</x:v>
      </x:c>
      <x:c r="I77" s="27" t="str">
        <x:v>No priority—review each claim independently</x:v>
      </x:c>
      <x:c r="J77" s="27" t="str">
        <x:v>Yes</x:v>
      </x:c>
      <x:c r="K77" s="27" t="str">
        <x:v>Do not adjudicate this as a true conflict. Reject non-substantive claims or review revised wording independently.</x:v>
      </x:c>
      <x:c r="L77" s="27" t="str">
        <x:v>Yes</x:v>
      </x:c>
      <x:c r="M77" s="27" t="str">
        <x:v>Yes</x:v>
      </x:c>
      <x:c r="N77" s="27" t="str">
        <x:v>Review source records</x:v>
      </x:c>
      <x:c r="O77" s="27" t="str">
        <x:v>Yes</x:v>
      </x:c>
      <x:c r="P77" s="27" t="str">
        <x:v>No</x:v>
      </x:c>
      <x:c r="Q77" s="27" t="str">
        <x:v>Review source-level regional applicability</x:v>
      </x:c>
      <x:c r="R77" s="27" t="str">
        <x:v>Potentially non-comparable findings; do not silently merge.</x:v>
      </x:c>
    </x:row>
    <x:row r="78" ht="72" customHeight="1">
      <x:c r="A78" s="27" t="str">
        <x:v>CON-074</x:v>
      </x:c>
      <x:c r="B78" s="27" t="str">
        <x:v>CLM-003; CLM-092</x:v>
      </x:c>
      <x:c r="C78" s="27" t="str">
        <x:v>SRC-001; SRC-024</x:v>
      </x:c>
      <x:c r="D78" s="27" t="str">
        <x:v>core_condition_knowledge</x:v>
      </x:c>
      <x:c r="E78" s="27" t="str">
        <x:v>not_materially_comparable</x:v>
      </x:c>
      <x:c r="F78" s="27" t="str">
        <x:v>different_condition; guideline_vs_primary_study</x:v>
      </x:c>
      <x:c r="G78" s="27" t="str">
        <x:v>One or both records are source-methodology/context sentences rather than competing clinical findings; the shared broad topic created a false-positive comparison.</x:v>
      </x:c>
      <x:c r="H78" s="27" t="str">
        <x:v>Yes</x:v>
      </x:c>
      <x:c r="I78" s="27" t="str">
        <x:v>No priority—review each claim independently</x:v>
      </x:c>
      <x:c r="J78" s="27" t="str">
        <x:v>Yes</x:v>
      </x:c>
      <x:c r="K78" s="27" t="str">
        <x:v>Do not adjudicate this as a true conflict. Reject non-substantive claims or review revised wording independently.</x:v>
      </x:c>
      <x:c r="L78" s="27" t="str">
        <x:v>Yes</x:v>
      </x:c>
      <x:c r="M78" s="27" t="str">
        <x:v>No</x:v>
      </x:c>
      <x:c r="N78" s="27" t="str">
        <x:v>Review source records</x:v>
      </x:c>
      <x:c r="O78" s="27" t="str">
        <x:v>Yes</x:v>
      </x:c>
      <x:c r="P78" s="27" t="str">
        <x:v>No</x:v>
      </x:c>
      <x:c r="Q78" s="27" t="str">
        <x:v>Review source-level regional applicability</x:v>
      </x:c>
      <x:c r="R78" s="27" t="str">
        <x:v>Potentially non-comparable findings; do not silently merge.</x:v>
      </x:c>
    </x:row>
    <x:row r="79" ht="72" customHeight="1">
      <x:c r="A79" s="27" t="str">
        <x:v>CON-075</x:v>
      </x:c>
      <x:c r="B79" s="27" t="str">
        <x:v>CLM-004; CLM-012</x:v>
      </x:c>
      <x:c r="C79" s="27" t="str">
        <x:v>SRC-001; SRC-003</x:v>
      </x:c>
      <x:c r="D79" s="27" t="str">
        <x:v>core_condition_knowledge</x:v>
      </x:c>
      <x:c r="E79" s="27" t="str">
        <x:v>not_materially_comparable</x:v>
      </x:c>
      <x:c r="F79" s="27" t="str">
        <x:v>different_condition</x:v>
      </x:c>
      <x:c r="G79" s="27" t="str">
        <x:v>One or both records are source-methodology/context sentences rather than competing clinical findings; the shared broad topic created a false-positive comparison.</x:v>
      </x:c>
      <x:c r="H79" s="27" t="str">
        <x:v>Yes</x:v>
      </x:c>
      <x:c r="I79" s="27" t="str">
        <x:v>No priority—review each claim independently</x:v>
      </x:c>
      <x:c r="J79" s="27" t="str">
        <x:v>Yes</x:v>
      </x:c>
      <x:c r="K79" s="27" t="str">
        <x:v>Do not adjudicate this as a true conflict. Reject non-substantive claims or review revised wording independently.</x:v>
      </x:c>
      <x:c r="L79" s="27" t="str">
        <x:v>Yes</x:v>
      </x:c>
      <x:c r="M79" s="27" t="str">
        <x:v>No</x:v>
      </x:c>
      <x:c r="N79" s="27" t="str">
        <x:v>Review source records</x:v>
      </x:c>
      <x:c r="O79" s="27" t="str">
        <x:v>No</x:v>
      </x:c>
      <x:c r="P79" s="27" t="str">
        <x:v>No</x:v>
      </x:c>
      <x:c r="Q79" s="27" t="str">
        <x:v>Review source-level regional applicability</x:v>
      </x:c>
      <x:c r="R79" s="27" t="str">
        <x:v>Potentially non-comparable findings; do not silently merge.</x:v>
      </x:c>
    </x:row>
    <x:row r="80" ht="72" customHeight="1">
      <x:c r="A80" s="27" t="str">
        <x:v>CON-076</x:v>
      </x:c>
      <x:c r="B80" s="27" t="str">
        <x:v>CLM-004; CLM-016</x:v>
      </x:c>
      <x:c r="C80" s="27" t="str">
        <x:v>SRC-001; SRC-004</x:v>
      </x:c>
      <x:c r="D80" s="27" t="str">
        <x:v>core_condition_knowledge</x:v>
      </x:c>
      <x:c r="E80" s="27" t="str">
        <x:v>not_materially_comparable</x:v>
      </x:c>
      <x:c r="F80" s="27" t="str">
        <x:v>different_condition; guideline_vs_primary_study</x:v>
      </x:c>
      <x:c r="G80" s="27" t="str">
        <x:v>One or both records are source-methodology/context sentences rather than competing clinical findings; the shared broad topic created a false-positive comparison.</x:v>
      </x:c>
      <x:c r="H80" s="27" t="str">
        <x:v>Yes</x:v>
      </x:c>
      <x:c r="I80" s="27" t="str">
        <x:v>No priority—review each claim independently</x:v>
      </x:c>
      <x:c r="J80" s="27" t="str">
        <x:v>Yes</x:v>
      </x:c>
      <x:c r="K80" s="27" t="str">
        <x:v>Do not adjudicate this as a true conflict. Reject non-substantive claims or review revised wording independently.</x:v>
      </x:c>
      <x:c r="L80" s="27" t="str">
        <x:v>Yes</x:v>
      </x:c>
      <x:c r="M80" s="27" t="str">
        <x:v>No</x:v>
      </x:c>
      <x:c r="N80" s="27" t="str">
        <x:v>Review source records</x:v>
      </x:c>
      <x:c r="O80" s="27" t="str">
        <x:v>Yes</x:v>
      </x:c>
      <x:c r="P80" s="27" t="str">
        <x:v>No</x:v>
      </x:c>
      <x:c r="Q80" s="27" t="str">
        <x:v>Review source-level regional applicability</x:v>
      </x:c>
      <x:c r="R80" s="27" t="str">
        <x:v>Potentially non-comparable findings; do not silently merge.</x:v>
      </x:c>
    </x:row>
    <x:row r="81" ht="72" customHeight="1">
      <x:c r="A81" s="27" t="str">
        <x:v>CON-077</x:v>
      </x:c>
      <x:c r="B81" s="27" t="str">
        <x:v>CLM-004; CLM-027</x:v>
      </x:c>
      <x:c r="C81" s="27" t="str">
        <x:v>SRC-001; SRC-007</x:v>
      </x:c>
      <x:c r="D81" s="27" t="str">
        <x:v>core_condition_knowledge</x:v>
      </x:c>
      <x:c r="E81" s="27" t="str">
        <x:v>not_materially_comparable</x:v>
      </x:c>
      <x:c r="F81" s="27" t="str">
        <x:v>different_condition; guideline_vs_primary_study</x:v>
      </x:c>
      <x:c r="G81" s="27" t="str">
        <x:v>One or both records are source-methodology/context sentences rather than competing clinical findings; the shared broad topic created a false-positive comparison.</x:v>
      </x:c>
      <x:c r="H81" s="27" t="str">
        <x:v>Yes</x:v>
      </x:c>
      <x:c r="I81" s="27" t="str">
        <x:v>No priority—review each claim independently</x:v>
      </x:c>
      <x:c r="J81" s="27" t="str">
        <x:v>Yes</x:v>
      </x:c>
      <x:c r="K81" s="27" t="str">
        <x:v>Do not adjudicate this as a true conflict. Reject non-substantive claims or review revised wording independently.</x:v>
      </x:c>
      <x:c r="L81" s="27" t="str">
        <x:v>Yes</x:v>
      </x:c>
      <x:c r="M81" s="27" t="str">
        <x:v>No</x:v>
      </x:c>
      <x:c r="N81" s="27" t="str">
        <x:v>Review source records</x:v>
      </x:c>
      <x:c r="O81" s="27" t="str">
        <x:v>Yes</x:v>
      </x:c>
      <x:c r="P81" s="27" t="str">
        <x:v>No</x:v>
      </x:c>
      <x:c r="Q81" s="27" t="str">
        <x:v>Review source-level regional applicability</x:v>
      </x:c>
      <x:c r="R81" s="27" t="str">
        <x:v>Potentially non-comparable findings; do not silently merge.</x:v>
      </x:c>
    </x:row>
    <x:row r="82" ht="72" customHeight="1">
      <x:c r="A82" s="27" t="str">
        <x:v>CON-078</x:v>
      </x:c>
      <x:c r="B82" s="27" t="str">
        <x:v>CLM-004; CLM-028</x:v>
      </x:c>
      <x:c r="C82" s="27" t="str">
        <x:v>SRC-001; SRC-007</x:v>
      </x:c>
      <x:c r="D82" s="27" t="str">
        <x:v>core_condition_knowledge</x:v>
      </x:c>
      <x:c r="E82" s="27" t="str">
        <x:v>not_materially_comparable</x:v>
      </x:c>
      <x:c r="F82" s="27" t="str">
        <x:v>different_condition; guideline_vs_primary_study</x:v>
      </x:c>
      <x:c r="G82" s="27" t="str">
        <x:v>One or both records are source-methodology/context sentences rather than competing clinical findings; the shared broad topic created a false-positive comparison.</x:v>
      </x:c>
      <x:c r="H82" s="27" t="str">
        <x:v>Yes</x:v>
      </x:c>
      <x:c r="I82" s="27" t="str">
        <x:v>No priority—review each claim independently</x:v>
      </x:c>
      <x:c r="J82" s="27" t="str">
        <x:v>Yes</x:v>
      </x:c>
      <x:c r="K82" s="27" t="str">
        <x:v>Do not adjudicate this as a true conflict. Reject non-substantive claims or review revised wording independently.</x:v>
      </x:c>
      <x:c r="L82" s="27" t="str">
        <x:v>Yes</x:v>
      </x:c>
      <x:c r="M82" s="27" t="str">
        <x:v>No</x:v>
      </x:c>
      <x:c r="N82" s="27" t="str">
        <x:v>Review source records</x:v>
      </x:c>
      <x:c r="O82" s="27" t="str">
        <x:v>Yes</x:v>
      </x:c>
      <x:c r="P82" s="27" t="str">
        <x:v>No</x:v>
      </x:c>
      <x:c r="Q82" s="27" t="str">
        <x:v>Review source-level regional applicability</x:v>
      </x:c>
      <x:c r="R82" s="27" t="str">
        <x:v>Potentially non-comparable findings; do not silently merge.</x:v>
      </x:c>
    </x:row>
    <x:row r="83" ht="72" customHeight="1">
      <x:c r="A83" s="27" t="str">
        <x:v>CON-079</x:v>
      </x:c>
      <x:c r="B83" s="27" t="str">
        <x:v>CLM-004; CLM-045</x:v>
      </x:c>
      <x:c r="C83" s="27" t="str">
        <x:v>SRC-001; SRC-012</x:v>
      </x:c>
      <x:c r="D83" s="27" t="str">
        <x:v>core_condition_knowledge</x:v>
      </x:c>
      <x:c r="E83" s="27" t="str">
        <x:v>not_materially_comparable</x:v>
      </x:c>
      <x:c r="F83" s="27" t="str">
        <x:v>different_condition; guideline_vs_primary_study</x:v>
      </x:c>
      <x:c r="G83" s="27" t="str">
        <x:v>One or both records are source-methodology/context sentences rather than competing clinical findings; the shared broad topic created a false-positive comparison.</x:v>
      </x:c>
      <x:c r="H83" s="27" t="str">
        <x:v>Yes</x:v>
      </x:c>
      <x:c r="I83" s="27" t="str">
        <x:v>No priority—review each claim independently</x:v>
      </x:c>
      <x:c r="J83" s="27" t="str">
        <x:v>Yes</x:v>
      </x:c>
      <x:c r="K83" s="27" t="str">
        <x:v>Do not adjudicate this as a true conflict. Reject non-substantive claims or review revised wording independently.</x:v>
      </x:c>
      <x:c r="L83" s="27" t="str">
        <x:v>Yes</x:v>
      </x:c>
      <x:c r="M83" s="27" t="str">
        <x:v>No</x:v>
      </x:c>
      <x:c r="N83" s="27" t="str">
        <x:v>Review source records</x:v>
      </x:c>
      <x:c r="O83" s="27" t="str">
        <x:v>Yes</x:v>
      </x:c>
      <x:c r="P83" s="27" t="str">
        <x:v>No</x:v>
      </x:c>
      <x:c r="Q83" s="27" t="str">
        <x:v>Review source-level regional applicability</x:v>
      </x:c>
      <x:c r="R83" s="27" t="str">
        <x:v>Potentially non-comparable findings; do not silently merge.</x:v>
      </x:c>
    </x:row>
    <x:row r="84" ht="72" customHeight="1">
      <x:c r="A84" s="28" t="str">
        <x:v>CON-080</x:v>
      </x:c>
      <x:c r="B84" s="28" t="str">
        <x:v>CLM-004; CLM-054</x:v>
      </x:c>
      <x:c r="C84" s="28" t="str">
        <x:v>SRC-001; SRC-014</x:v>
      </x:c>
      <x:c r="D84" s="28" t="str">
        <x:v>core_condition_knowledge</x:v>
      </x:c>
      <x:c r="E84" s="28" t="str">
        <x:v>not_materially_comparable</x:v>
      </x:c>
      <x:c r="F84" s="28" t="str">
        <x:v>different_condition; guideline_vs_primary_study</x:v>
      </x:c>
      <x:c r="G84" s="28" t="str">
        <x:v>One or both records are source-methodology/context sentences rather than competing clinical findings; the shared broad topic created a false-positive comparison.</x:v>
      </x:c>
      <x:c r="H84" s="28" t="str">
        <x:v>Yes</x:v>
      </x:c>
      <x:c r="I84" s="28" t="str">
        <x:v>No priority—review each claim independently</x:v>
      </x:c>
      <x:c r="J84" s="28" t="str">
        <x:v>Yes</x:v>
      </x:c>
      <x:c r="K84" s="28" t="str">
        <x:v>Do not adjudicate this as a true conflict. Reject non-substantive claims or review revised wording independently.</x:v>
      </x:c>
      <x:c r="L84" s="28" t="str">
        <x:v>Yes</x:v>
      </x:c>
      <x:c r="M84" s="28" t="str">
        <x:v>No</x:v>
      </x:c>
      <x:c r="N84" s="28" t="str">
        <x:v>Review source records</x:v>
      </x:c>
      <x:c r="O84" s="28" t="str">
        <x:v>Yes</x:v>
      </x:c>
      <x:c r="P84" s="28" t="str">
        <x:v>No</x:v>
      </x:c>
      <x:c r="Q84" s="28" t="str">
        <x:v>Review source-level regional applicability</x:v>
      </x:c>
      <x:c r="R84" s="28" t="str">
        <x:v>Potentially non-comparable findings; do not silently merge.</x:v>
      </x:c>
    </x:row>
  </x:sheetData>
  <x:mergeCells>
    <x:mergeCell ref="A1:R1"/>
    <x:mergeCell ref="A2:R2"/>
  </x:mergeCells>
  <x:conditionalFormatting sqref="E5:E84">
    <x:cfRule type="containsText" dxfId="12" priority="1" operator="containsText" text="ready_for_review"/>
    <x:cfRule type="containsText" dxfId="13" priority="2" operator="containsText" text="revision"/>
    <x:cfRule type="containsText" dxfId="14" priority="3" operator="containsText" text="needs"/>
    <x:cfRule type="containsText" dxfId="15" priority="4" operator="containsText" text="insufficient"/>
    <x:cfRule type="containsText" dxfId="16" priority="5" operator="containsText" text="superseded"/>
    <x:cfRule type="containsText" dxfId="17" priority="6" operator="containsText" text="reject"/>
  </x:conditionalFormatting>
  <x:pageMargins left="0.7" right="0.7" top="0.75" bottom="0.75" header="0.3" footer="0.3"/>
  <x:tableParts count="1">
    <x:tablePart xmlns:r="http://schemas.openxmlformats.org/officeDocument/2006/relationships" r:id="Raf703b337aea4a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22" hidden="0" customWidth="1"/>
    <x:col min="4" max="4" width="26" hidden="0" customWidth="1"/>
    <x:col min="5" max="5" width="56" hidden="0" customWidth="1"/>
  </x:cols>
  <x:sheetData>
    <x:row r="1" ht="30" customHeight="1">
      <x:c r="A1" s="3" t="str">
        <x:v>Coverage after evidence QA</x:v>
      </x:c>
      <x:c r="B1" s="3"/>
      <x:c r="C1" s="3"/>
      <x:c r="D1" s="3"/>
      <x:c r="E1" s="3"/>
    </x:row>
    <x:row r="2" ht="42" customHeight="1">
      <x:c r="A2" s="7" t="str">
        <x:v>Potentially usable means ready-for-review plus revision-recommended; it does not mean approved. Feature blocks apply only to the named scope.</x:v>
      </x:c>
      <x:c r="B2" s="7"/>
      <x:c r="C2" s="7"/>
      <x:c r="D2" s="7"/>
      <x:c r="E2" s="7"/>
    </x:row>
    <x:row r="4" ht="38" customHeight="1">
      <x:c r="A4" s="16" t="str">
        <x:v>Coverage dimension</x:v>
      </x:c>
      <x:c r="B4" s="17" t="str">
        <x:v>Original candidate claims</x:v>
      </x:c>
      <x:c r="C4" s="17" t="str">
        <x:v>Potentially usable after QA</x:v>
      </x:c>
      <x:c r="D4" s="17" t="str">
        <x:v>Gap classification</x:v>
      </x:c>
      <x:c r="E4" s="18" t="str">
        <x:v>Interpretation and scope limit</x:v>
      </x:c>
    </x:row>
    <x:row r="5" ht="56" customHeight="1">
      <x:c r="A5" s="26" t="str">
        <x:v>ulcerative_colitis</x:v>
      </x:c>
      <x:c r="B5" s="26" t="n">
        <x:v>24</x:v>
      </x:c>
      <x:c r="C5" s="26" t="n">
        <x:v>10</x:v>
      </x:c>
      <x:c r="D5" s="26" t="str">
        <x:v>acceptable_for_mvp</x:v>
      </x:c>
      <x:c r="E5" s="26" t="str">
        <x:v>Use only disease-specific wording and preserve study population.</x:v>
      </x:c>
    </x:row>
    <x:row r="6" ht="56" customHeight="1">
      <x:c r="A6" s="27" t="str">
        <x:v>crohns_disease</x:v>
      </x:c>
      <x:c r="B6" s="27" t="n">
        <x:v>47</x:v>
      </x:c>
      <x:c r="C6" s="27" t="n">
        <x:v>25</x:v>
      </x:c>
      <x:c r="D6" s="27" t="str">
        <x:v>acceptable_for_mvp</x:v>
      </x:c>
      <x:c r="E6" s="27" t="str">
        <x:v>Crohn's evidence is the strongest condition-specific area, but varies by age and disease state.</x:v>
      </x:c>
    </x:row>
    <x:row r="7" ht="56" customHeight="1">
      <x:c r="A7" s="27" t="str">
        <x:v>shared_ibd</x:v>
      </x:c>
      <x:c r="B7" s="27" t="n">
        <x:v>76</x:v>
      </x:c>
      <x:c r="C7" s="27" t="n">
        <x:v>42</x:v>
      </x:c>
      <x:c r="D7" s="27" t="str">
        <x:v>acceptable_for_mvp</x:v>
      </x:c>
      <x:c r="E7" s="27" t="str">
        <x:v>Do not assume shared applicability when a finding is disease-specific.</x:v>
      </x:c>
    </x:row>
    <x:row r="8" ht="56" customHeight="1">
      <x:c r="A8" s="27" t="str">
        <x:v>active_disease</x:v>
      </x:c>
      <x:c r="B8" s="27" t="n">
        <x:v>5</x:v>
      </x:c>
      <x:c r="C8" s="27" t="n">
        <x:v>3</x:v>
      </x:c>
      <x:c r="D8" s="27" t="str">
        <x:v>requires_answer_limitation</x:v>
      </x:c>
      <x:c r="E8" s="27" t="str">
        <x:v>Coverage is narrow and intervention-specific.</x:v>
      </x:c>
    </x:row>
    <x:row r="9" ht="56" customHeight="1">
      <x:c r="A9" s="27" t="str">
        <x:v>remission</x:v>
      </x:c>
      <x:c r="B9" s="27" t="n">
        <x:v>15</x:v>
      </x:c>
      <x:c r="C9" s="27" t="n">
        <x:v>11</x:v>
      </x:c>
      <x:c r="D9" s="27" t="str">
        <x:v>requires_answer_limitation</x:v>
      </x:c>
      <x:c r="E9" s="27" t="str">
        <x:v>Distinguish clinical remission, symptomatic relapse, biomarkers, and endoscopic outcomes.</x:v>
      </x:c>
    </x:row>
    <x:row r="10" ht="56" customHeight="1">
      <x:c r="A10" s="27" t="str">
        <x:v>post_surgical_context</x:v>
      </x:c>
      <x:c r="B10" s="27" t="n">
        <x:v>1</x:v>
      </x:c>
      <x:c r="C10" s="27" t="n">
        <x:v>0</x:v>
      </x:c>
      <x:c r="D10" s="27" t="str">
        <x:v>blocks_feature_scope</x:v>
      </x:c>
      <x:c r="E10" s="27" t="str">
        <x:v>Do not provide post-surgical diet guidance in the MVP.</x:v>
      </x:c>
    </x:row>
    <x:row r="11" ht="56" customHeight="1">
      <x:c r="A11" s="27" t="str">
        <x:v>stricture_or_obstruction_risk</x:v>
      </x:c>
      <x:c r="B11" s="27" t="n">
        <x:v>1</x:v>
      </x:c>
      <x:c r="C11" s="27" t="n">
        <x:v>1</x:v>
      </x:c>
      <x:c r="D11" s="27" t="str">
        <x:v>blocks_feature_scope</x:v>
      </x:c>
      <x:c r="E11" s="27" t="str">
        <x:v>High-risk context requires clinician-led advice; evidence here is sparse.</x:v>
      </x:c>
    </x:row>
    <x:row r="12" ht="56" customHeight="1">
      <x:c r="A12" s="27" t="str">
        <x:v>symptoms</x:v>
      </x:c>
      <x:c r="B12" s="27" t="n">
        <x:v>6</x:v>
      </x:c>
      <x:c r="C12" s="27" t="n">
        <x:v>4</x:v>
      </x:c>
      <x:c r="D12" s="27" t="str">
        <x:v>acceptable_for_mvp</x:v>
      </x:c>
      <x:c r="E12" s="27" t="str">
        <x:v>Keep symptom outcomes separate from inflammatory control.</x:v>
      </x:c>
    </x:row>
    <x:row r="13" ht="56" customHeight="1">
      <x:c r="A13" s="27" t="str">
        <x:v>inflammation</x:v>
      </x:c>
      <x:c r="B13" s="27" t="n">
        <x:v>13</x:v>
      </x:c>
      <x:c r="C13" s="27" t="n">
        <x:v>5</x:v>
      </x:c>
      <x:c r="D13" s="27" t="str">
        <x:v>requires_answer_limitation</x:v>
      </x:c>
      <x:c r="E13" s="27" t="str">
        <x:v>Several original outcome labels are inaccurate or based on association/background statements.</x:v>
      </x:c>
    </x:row>
    <x:row r="14" ht="56" customHeight="1">
      <x:c r="A14" s="27" t="str">
        <x:v>biomarkers</x:v>
      </x:c>
      <x:c r="B14" s="27" t="n">
        <x:v>1</x:v>
      </x:c>
      <x:c r="C14" s="27" t="n">
        <x:v>1</x:v>
      </x:c>
      <x:c r="D14" s="27" t="str">
        <x:v>blocks_feature_scope</x:v>
      </x:c>
      <x:c r="E14" s="27" t="str">
        <x:v>Too little validated evidence for biomarker-focused product claims.</x:v>
      </x:c>
    </x:row>
    <x:row r="15" ht="56" customHeight="1">
      <x:c r="A15" s="27" t="str">
        <x:v>nutritional_status</x:v>
      </x:c>
      <x:c r="B15" s="27" t="n">
        <x:v>9</x:v>
      </x:c>
      <x:c r="C15" s="27" t="n">
        <x:v>4</x:v>
      </x:c>
      <x:c r="D15" s="27" t="str">
        <x:v>acceptable_for_mvp</x:v>
      </x:c>
      <x:c r="E15" s="27" t="str">
        <x:v>Use only general screening/education language; no diagnosis.</x:v>
      </x:c>
    </x:row>
    <x:row r="16" ht="56" customHeight="1">
      <x:c r="A16" s="27" t="str">
        <x:v>quality_of_life</x:v>
      </x:c>
      <x:c r="B16" s="27" t="n">
        <x:v>4</x:v>
      </x:c>
      <x:c r="C16" s="27" t="n">
        <x:v>3</x:v>
      </x:c>
      <x:c r="D16" s="27" t="str">
        <x:v>requires_answer_limitation</x:v>
      </x:c>
      <x:c r="E16" s="27" t="str">
        <x:v>Small, heterogeneous intervention evidence; avoid causal claims.</x:v>
      </x:c>
    </x:row>
    <x:row r="17" ht="56" customHeight="1">
      <x:c r="A17" s="27" t="str">
        <x:v>adverse_effects</x:v>
      </x:c>
      <x:c r="B17" s="27" t="n">
        <x:v>1</x:v>
      </x:c>
      <x:c r="C17" s="27" t="n">
        <x:v>0</x:v>
      </x:c>
      <x:c r="D17" s="27" t="str">
        <x:v>blocks_feature_scope</x:v>
      </x:c>
      <x:c r="E17" s="27" t="str">
        <x:v>No usable claim-level adverse-effect coverage remains after QA.</x:v>
      </x:c>
    </x:row>
    <x:row r="18" ht="56" customHeight="1">
      <x:c r="A18" s="27" t="str">
        <x:v>alcohol</x:v>
      </x:c>
      <x:c r="B18" s="27" t="n">
        <x:v>1</x:v>
      </x:c>
      <x:c r="C18" s="27" t="n">
        <x:v>1</x:v>
      </x:c>
      <x:c r="D18" s="27" t="str">
        <x:v>blocks_feature_scope</x:v>
      </x:c>
      <x:c r="E18" s="27" t="str">
        <x:v>Only one official patient-information uncertainty statement is present.</x:v>
      </x:c>
    </x:row>
    <x:row r="19" ht="56" customHeight="1">
      <x:c r="A19" s="27" t="str">
        <x:v>physical_activity</x:v>
      </x:c>
      <x:c r="B19" s="27" t="n">
        <x:v>2</x:v>
      </x:c>
      <x:c r="C19" s="27" t="n">
        <x:v>1</x:v>
      </x:c>
      <x:c r="D19" s="27" t="str">
        <x:v>blocks_feature_scope</x:v>
      </x:c>
      <x:c r="E19" s="27" t="str">
        <x:v>Evidence concerns incident IBD risk, not recovery advice for people with established IBD.</x:v>
      </x:c>
    </x:row>
    <x:row r="20" ht="56" customHeight="1">
      <x:c r="A20" s="28" t="str">
        <x:v>food_and_dietary_patterns</x:v>
      </x:c>
      <x:c r="B20" s="28" t="n">
        <x:v>32</x:v>
      </x:c>
      <x:c r="C20" s="28" t="n">
        <x:v>24</x:v>
      </x:c>
      <x:c r="D20" s="28" t="str">
        <x:v>acceptable_for_mvp</x:v>
      </x:c>
      <x:c r="E20" s="28" t="str">
        <x:v>Use only approved, narrowly scoped claims and retain incidence-versus-disease-course distinctions.</x:v>
      </x:c>
    </x:row>
  </x:sheetData>
  <x:mergeCells>
    <x:mergeCell ref="A1:E1"/>
    <x:mergeCell ref="A2:E2"/>
  </x:mergeCells>
  <x:conditionalFormatting sqref="D5:D20">
    <x:cfRule type="containsText" dxfId="18" priority="1" operator="containsText" text="ready_for_review"/>
    <x:cfRule type="containsText" dxfId="19" priority="2" operator="containsText" text="revision"/>
    <x:cfRule type="containsText" dxfId="20" priority="3" operator="containsText" text="needs"/>
    <x:cfRule type="containsText" dxfId="21" priority="4" operator="containsText" text="insufficient"/>
    <x:cfRule type="containsText" dxfId="22" priority="5" operator="containsText" text="superseded"/>
    <x:cfRule type="containsText" dxfId="23" priority="6" operator="containsText" text="reject"/>
  </x:conditionalFormatting>
  <x:conditionalFormatting sqref="C5:C20">
    <x:cfRule type="dataBar" priority="7">
      <x:dataBar>
        <x:cfvo type="min"/>
        <x:cfvo type="max"/>
        <x:color rgb="FF2E7D73"/>
      </x:dataBar>
      <x:extLst>
        <x:ext xmlns:x14="http://schemas.microsoft.com/office/spreadsheetml/2009/9/main" uri="{B025F937-C7B1-47D3-B67F-A62EFF666E3E}">
          <x14:id>{E177A72F-2C66-F3BF-0108-20123D74EDF7}</x14:id>
        </x:ext>
      </x:extLst>
    </x:cfRule>
  </x:conditionalFormatting>
  <x:pageMargins left="0.7" right="0.7" top="0.75" bottom="0.75" header="0.3" footer="0.3"/>
  <x:tableParts count="1">
    <x:tablePart xmlns:r="http://schemas.openxmlformats.org/officeDocument/2006/relationships" r:id="R487cdea806e84904"/>
  </x:tableParts>
  <x:extLst>
    <x:ext xmlns:x14="http://schemas.microsoft.com/office/spreadsheetml/2009/9/main" xmlns:xm="http://schemas.microsoft.com/office/excel/2006/main" uri="{78C0D931-6437-407d-A8EE-F0AAD7539E65}">
      <x14:conditionalFormattings>
        <x14:conditionalFormatting>
          <x14:cfRule type="dataBar" priority="7" id="{E177A72F-2C66-F3BF-0108-20123D74EDF7}">
            <x14:dataBar gradient="1">
              <x14:cfvo type="min"/>
              <x14:cfvo type="max"/>
              <x14:fillColor rgb="FF2E7D73"/>
            </x14:dataBar>
          </x14:cfRule>
          <xm:sqref>C5:C20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18" hidden="0" customWidth="1"/>
    <x:col min="4" max="4" width="44" hidden="0" customWidth="1"/>
    <x:col min="5" max="5" width="22" hidden="0" customWidth="1"/>
    <x:col min="6" max="6" width="32" hidden="0" customWidth="1"/>
    <x:col min="7" max="7" width="40" hidden="0" customWidth="1"/>
    <x:col min="8" max="8" width="42" hidden="0" customWidth="1"/>
    <x:col min="9" max="9" width="48" hidden="0" customWidth="1"/>
    <x:col min="10" max="10" width="46" hidden="0" customWidth="1"/>
  </x:cols>
  <x:sheetData>
    <x:row r="1" ht="30" customHeight="1">
      <x:c r="A1" s="3" t="str">
        <x:v>Second-pass review of nine abstract-only sources</x:v>
      </x:c>
      <x:c r="B1" s="3"/>
      <x:c r="C1" s="3"/>
      <x:c r="D1" s="3"/>
      <x:c r="E1" s="3"/>
      <x:c r="F1" s="3"/>
      <x:c r="G1" s="3"/>
      <x:c r="H1" s="3"/>
      <x:c r="I1" s="3"/>
      <x:c r="J1" s="3"/>
    </x:row>
    <x:row r="2" ht="42" customHeight="1">
      <x:c r="A2" s="7" t="str">
        <x:v>Only legal public routes were used. Sources without full text remain explicitly abstract-only and must not be over-interpreted.</x:v>
      </x:c>
      <x:c r="B2" s="7"/>
      <x:c r="C2" s="7"/>
      <x:c r="D2" s="7"/>
      <x:c r="E2" s="7"/>
      <x:c r="F2" s="7"/>
      <x:c r="G2" s="7"/>
      <x:c r="H2" s="7"/>
      <x:c r="I2" s="7"/>
      <x:c r="J2" s="7"/>
    </x:row>
    <x:row r="4" ht="38" customHeight="1">
      <x:c r="A4" s="16" t="str">
        <x:v>Source ID</x:v>
      </x:c>
      <x:c r="B4" s="17" t="str">
        <x:v>Source title</x:v>
      </x:c>
      <x:c r="C4" s="17" t="str">
        <x:v>Original status</x:v>
      </x:c>
      <x:c r="D4" s="17" t="str">
        <x:v>Legal/public verification routes</x:v>
      </x:c>
      <x:c r="E4" s="17" t="str">
        <x:v>Full text became available</x:v>
      </x:c>
      <x:c r="F4" s="17" t="str">
        <x:v>Current access status</x:v>
      </x:c>
      <x:c r="G4" s="17" t="str">
        <x:v>Authoritative access URL</x:v>
      </x:c>
      <x:c r="H4" s="17" t="str">
        <x:v>Confidence handling</x:v>
      </x:c>
      <x:c r="I4" s="17" t="str">
        <x:v>Applicability/access limitation</x:v>
      </x:c>
      <x:c r="J4" s="18" t="str">
        <x:v>Recommended reviewer action</x:v>
      </x:c>
    </x:row>
    <x:row r="5" ht="78" customHeight="1">
      <x:c r="A5" s="26" t="str">
        <x:v>SRC-001</x:v>
      </x:c>
      <x:c r="B5" s="26" t="str">
        <x:v>British Society of Gastroenterology guidelines on inflammatory bowel disease in adults: 2025.</x:v>
      </x:c>
      <x:c r="C5" s="26" t="str">
        <x:v>abstract_only</x:v>
      </x:c>
      <x:c r="D5" s="26" t="str">
        <x:v>PubMed; Europe PMC/PMC; DOI metadata; official journal or society page; recognised institutional repository</x:v>
      </x:c>
      <x:c r="E5" s="26" t="str">
        <x:v>Yes</x:v>
      </x:c>
      <x:c r="F5" s="26" t="str">
        <x:v>public_full_text_found</x:v>
      </x:c>
      <x:c r="G5" s="26" t="str">
        <x:v>https://discovery.ucl.ac.uk/id/eprint/10210552/</x:v>
      </x:c>
      <x:c r="H5" s="26" t="str">
        <x:v>Reassess only after full-text appraisal; no automatic confidence increase.</x:v>
      </x:c>
      <x:c r="I5" s="26" t="str">
        <x:v>Legitimate public full text located; claims still require passage-level review before approval.</x:v>
      </x:c>
      <x:c r="J5" s="26" t="str">
        <x:v>Review the verified passage and decide; do not approve automatically.</x:v>
      </x:c>
    </x:row>
    <x:row r="6" ht="78" customHeight="1">
      <x:c r="A6" s="27" t="str">
        <x:v>SRC-002</x:v>
      </x:c>
      <x:c r="B6" s="27" t="str">
        <x:v>AGA Clinical Practice Update on Diet and Nutritional Therapies in Patients With Inflammatory Bowel Disease: Expert Review.</x:v>
      </x:c>
      <x:c r="C6" s="27" t="str">
        <x:v>abstract_only</x:v>
      </x:c>
      <x:c r="D6" s="27" t="str">
        <x:v>PubMed; Europe PMC/PMC; DOI metadata; official journal or society page; recognised institutional repository</x:v>
      </x:c>
      <x:c r="E6" s="27" t="str">
        <x:v>No</x:v>
      </x:c>
      <x:c r="F6" s="27" t="str">
        <x:v>abstract_only</x:v>
      </x:c>
      <x:c r="G6" s="27" t="str">
        <x:v>https://pubmed.ncbi.nlm.nih.gov/38276922/</x:v>
      </x:c>
      <x:c r="H6" s="27" t="str">
        <x:v>Do not exceed moderate until full methods and results are reviewed.</x:v>
      </x:c>
      <x:c r="I6" s="27" t="str">
        <x:v>Full text remains unavailable; retain abstract-only label, moderate-or-lower confidence, and narrow claims to the abstract.</x:v>
      </x:c>
      <x:c r="J6" s="27" t="str">
        <x:v>Approve only claims fully supported by the abstract and explicitly limited; otherwise reject or request full text.</x:v>
      </x:c>
    </x:row>
    <x:row r="7" ht="78" customHeight="1">
      <x:c r="A7" s="27" t="str">
        <x:v>SRC-003</x:v>
      </x:c>
      <x:c r="B7" s="27" t="str">
        <x:v>ESPEN guideline: Clinical nutrition in inflammatory bowel disease.</x:v>
      </x:c>
      <x:c r="C7" s="27" t="str">
        <x:v>abstract_only</x:v>
      </x:c>
      <x:c r="D7" s="27" t="str">
        <x:v>PubMed; Europe PMC/PMC; DOI metadata; official journal or society page; recognised institutional repository</x:v>
      </x:c>
      <x:c r="E7" s="27" t="str">
        <x:v>Yes</x:v>
      </x:c>
      <x:c r="F7" s="27" t="str">
        <x:v>public_full_text_found_but_superseded</x:v>
      </x:c>
      <x:c r="G7" s="27" t="str">
        <x:v>https://www.espen.org/files/ESPEN-guideline_Clinical-nutrition-in-inflammatory-bowel-disease.pdf</x:v>
      </x:c>
      <x:c r="H7" s="27" t="str">
        <x:v>Reassess only after full-text appraisal; no automatic confidence increase.</x:v>
      </x:c>
      <x:c r="I7" s="27" t="str">
        <x:v>Public full text found, but the source is superseded by the 2023 ESPEN guideline.</x:v>
      </x:c>
      <x:c r="J7" s="27" t="str">
        <x:v>Do not approve as current guidance; compare with the 2023 update and replace or retire.</x:v>
      </x:c>
    </x:row>
    <x:row r="8" ht="78" customHeight="1">
      <x:c r="A8" s="27" t="str">
        <x:v>SRC-005</x:v>
      </x:c>
      <x:c r="B8" s="27" t="str">
        <x:v>Dietary Interventions for the Treatment of Inflammatory Bowel Diseases: An Updated Systematic Review and Meta-analysis.</x:v>
      </x:c>
      <x:c r="C8" s="27" t="str">
        <x:v>abstract_only</x:v>
      </x:c>
      <x:c r="D8" s="27" t="str">
        <x:v>PubMed; Europe PMC/PMC; DOI metadata; official journal or society page; recognised institutional repository</x:v>
      </x:c>
      <x:c r="E8" s="27" t="str">
        <x:v>Yes</x:v>
      </x:c>
      <x:c r="F8" s="27" t="str">
        <x:v>public_full_text_found</x:v>
      </x:c>
      <x:c r="G8" s="27" t="str">
        <x:v>https://bspghan.org.uk/wp-content/uploads/2023/09/systemic-review-dietwry-treatment-of-ibd.pdf</x:v>
      </x:c>
      <x:c r="H8" s="27" t="str">
        <x:v>Reassess only after full-text appraisal; no automatic confidence increase.</x:v>
      </x:c>
      <x:c r="I8" s="27" t="str">
        <x:v>Legitimate public full text located; claims still require passage-level review before approval.</x:v>
      </x:c>
      <x:c r="J8" s="27" t="str">
        <x:v>Review the verified passage and decide; do not approve automatically.</x:v>
      </x:c>
    </x:row>
    <x:row r="9" ht="78" customHeight="1">
      <x:c r="A9" s="27" t="str">
        <x:v>SRC-012</x:v>
      </x:c>
      <x:c r="B9" s="27" t="str">
        <x:v>Efficacy and safety of probiotics in the induction and maintenance of inflammatory bowel disease remission: a systematic review and meta-analysis.</x:v>
      </x:c>
      <x:c r="C9" s="27" t="str">
        <x:v>abstract_only</x:v>
      </x:c>
      <x:c r="D9" s="27" t="str">
        <x:v>PubMed; Europe PMC/PMC; DOI metadata; official journal or society page; recognised institutional repository</x:v>
      </x:c>
      <x:c r="E9" s="27" t="str">
        <x:v>Yes</x:v>
      </x:c>
      <x:c r="F9" s="27" t="str">
        <x:v>public_full_text_found</x:v>
      </x:c>
      <x:c r="G9" s="27" t="str">
        <x:v>https://cdn.amegroups.cn/journals/amepc/files/journals/8/articles/83657/public/83657-PB3-2220-R2.pdf</x:v>
      </x:c>
      <x:c r="H9" s="27" t="str">
        <x:v>Reassess only after full-text appraisal; no automatic confidence increase.</x:v>
      </x:c>
      <x:c r="I9" s="27" t="str">
        <x:v>Legitimate public full text located; claims still require passage-level review before approval.</x:v>
      </x:c>
      <x:c r="J9" s="27" t="str">
        <x:v>Review the verified passage and decide; do not approve automatically.</x:v>
      </x:c>
    </x:row>
    <x:row r="10" ht="78" customHeight="1">
      <x:c r="A10" s="27" t="str">
        <x:v>SRC-014</x:v>
      </x:c>
      <x:c r="B10" s="27" t="str">
        <x:v>Physical Activity is Associated with a Decreased Risk of Developing Inflammatory Bowel Disease: A Systematic Review and Meta-analysis.</x:v>
      </x:c>
      <x:c r="C10" s="27" t="str">
        <x:v>abstract_only</x:v>
      </x:c>
      <x:c r="D10" s="27" t="str">
        <x:v>PubMed; Europe PMC/PMC; DOI metadata; official journal or society page; recognised institutional repository</x:v>
      </x:c>
      <x:c r="E10" s="27" t="str">
        <x:v>Yes</x:v>
      </x:c>
      <x:c r="F10" s="27" t="str">
        <x:v>public_full_text_found</x:v>
      </x:c>
      <x:c r="G10" s="27" t="str">
        <x:v>https://academic.oup.com/ecco-jcc/article/18/9/1476/7643393</x:v>
      </x:c>
      <x:c r="H10" s="27" t="str">
        <x:v>Reassess only after full-text appraisal; no automatic confidence increase.</x:v>
      </x:c>
      <x:c r="I10" s="27" t="str">
        <x:v>Legitimate public full text located; claims still require passage-level review before approval.</x:v>
      </x:c>
      <x:c r="J10" s="27" t="str">
        <x:v>Review the verified passage and decide; do not approve automatically.</x:v>
      </x:c>
    </x:row>
    <x:row r="11" ht="78" customHeight="1">
      <x:c r="A11" s="27" t="str">
        <x:v>SRC-015</x:v>
      </x:c>
      <x:c r="B11" s="27" t="str">
        <x:v>Environmental Risk Factors for Inflammatory Bowel Diseases: An Umbrella Review of Meta-analyses.</x:v>
      </x:c>
      <x:c r="C11" s="27" t="str">
        <x:v>abstract_only</x:v>
      </x:c>
      <x:c r="D11" s="27" t="str">
        <x:v>PubMed; Europe PMC/PMC; DOI metadata; official journal or society page; recognised institutional repository</x:v>
      </x:c>
      <x:c r="E11" s="27" t="str">
        <x:v>No</x:v>
      </x:c>
      <x:c r="F11" s="27" t="str">
        <x:v>abstract_only</x:v>
      </x:c>
      <x:c r="G11" s="27" t="str">
        <x:v>https://pubmed.ncbi.nlm.nih.gov/31014995/</x:v>
      </x:c>
      <x:c r="H11" s="27" t="str">
        <x:v>Do not exceed moderate until full methods and results are reviewed.</x:v>
      </x:c>
      <x:c r="I11" s="27" t="str">
        <x:v>Full text remains unavailable; retain abstract-only label, moderate-or-lower confidence, and narrow claims to the abstract.</x:v>
      </x:c>
      <x:c r="J11" s="27" t="str">
        <x:v>Approve only claims fully supported by the abstract and explicitly limited; otherwise reject or request full text.</x:v>
      </x:c>
    </x:row>
    <x:row r="12" ht="78" customHeight="1">
      <x:c r="A12" s="27" t="str">
        <x:v>SRC-017</x:v>
      </x:c>
      <x:c r="B12" s="27" t="str">
        <x:v>Crohn's Disease Exclusion Diet Plus Partial Enteral Nutrition Induces Sustained Remission in a Randomized Controlled Trial.</x:v>
      </x:c>
      <x:c r="C12" s="27" t="str">
        <x:v>abstract_only</x:v>
      </x:c>
      <x:c r="D12" s="27" t="str">
        <x:v>PubMed; Europe PMC/PMC; DOI metadata; official journal or society page; recognised institutional repository</x:v>
      </x:c>
      <x:c r="E12" s="27" t="str">
        <x:v>No</x:v>
      </x:c>
      <x:c r="F12" s="27" t="str">
        <x:v>abstract_only</x:v>
      </x:c>
      <x:c r="G12" s="27" t="str">
        <x:v>https://pubmed.ncbi.nlm.nih.gov/31170412/</x:v>
      </x:c>
      <x:c r="H12" s="27" t="str">
        <x:v>Do not exceed moderate until full methods and results are reviewed.</x:v>
      </x:c>
      <x:c r="I12" s="27" t="str">
        <x:v>Full text remains unavailable; retain abstract-only label, moderate-or-lower confidence, and narrow claims to the abstract.</x:v>
      </x:c>
      <x:c r="J12" s="27" t="str">
        <x:v>Approve only claims fully supported by the abstract and explicitly limited; otherwise reject or request full text.</x:v>
      </x:c>
    </x:row>
    <x:row r="13" ht="78" customHeight="1">
      <x:c r="A13" s="28" t="str">
        <x:v>SRC-019</x:v>
      </x:c>
      <x:c r="B13" s="28" t="str">
        <x:v>A randomized, 6-wk trial of a low FODMAP diet in patients with inflammatory bowel disease.</x:v>
      </x:c>
      <x:c r="C13" s="28" t="str">
        <x:v>abstract_only</x:v>
      </x:c>
      <x:c r="D13" s="28" t="str">
        <x:v>PubMed; Europe PMC/PMC; DOI metadata; official journal or society page; recognised institutional repository</x:v>
      </x:c>
      <x:c r="E13" s="28" t="str">
        <x:v>Yes</x:v>
      </x:c>
      <x:c r="F13" s="28" t="str">
        <x:v>public_institutional_copy_found</x:v>
      </x:c>
      <x:c r="G13" s="28" t="str">
        <x:v>https://files.commons.gc.cuny.edu/wp-content/blogs.dir/9362/files/2021/11/bodini2019.pdf</x:v>
      </x:c>
      <x:c r="H13" s="28" t="str">
        <x:v>Reassess only after full-text appraisal; no automatic confidence increase.</x:v>
      </x:c>
      <x:c r="I13" s="28" t="str">
        <x:v>Legitimate public full text located; claims still require passage-level review before approval.</x:v>
      </x:c>
      <x:c r="J13" s="28" t="str">
        <x:v>Review the verified passage and decide; do not approve automatically.</x:v>
      </x:c>
    </x:row>
  </x:sheetData>
  <x:mergeCells>
    <x:mergeCell ref="A1:J1"/>
    <x:mergeCell ref="A2:J2"/>
  </x:mergeCells>
  <x:conditionalFormatting sqref="E5:E13">
    <x:cfRule type="containsText" dxfId="24" priority="1" operator="containsText" text="No"/>
  </x:conditionalFormatting>
  <x:pageMargins left="0.7" right="0.7" top="0.75" bottom="0.75" header="0.3" footer="0.3"/>
  <x:tableParts count="1">
    <x:tablePart xmlns:r="http://schemas.openxmlformats.org/officeDocument/2006/relationships" r:id="R1dd654dc7cec4c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0" hidden="0" customWidth="1"/>
    <x:col min="4" max="4" width="54" hidden="0" customWidth="1"/>
    <x:col min="5" max="5" width="48" hidden="0" customWidth="1"/>
    <x:col min="6" max="6" width="30" hidden="0" customWidth="1"/>
    <x:col min="7" max="7" width="40" hidden="0" customWidth="1"/>
    <x:col min="8" max="8" width="48" hidden="0" customWidth="1"/>
  </x:cols>
  <x:sheetData>
    <x:row r="1" ht="30" customHeight="1">
      <x:c r="A1" s="3" t="str">
        <x:v>Access, acquisition, and verification issues</x:v>
      </x:c>
      <x:c r="B1" s="3"/>
      <x:c r="C1" s="3"/>
      <x:c r="D1" s="3"/>
      <x:c r="E1" s="3"/>
      <x:c r="F1" s="3"/>
      <x:c r="G1" s="3"/>
      <x:c r="H1" s="3"/>
    </x:row>
    <x:row r="2" ht="42" customHeight="1">
      <x:c r="A2" s="7" t="str">
        <x:v>The 11 incorrect full-text mappings and both original Oxford HTTP 403 issues are preserved here. Access restrictions were not bypassed.</x:v>
      </x:c>
      <x:c r="B2" s="7"/>
      <x:c r="C2" s="7"/>
      <x:c r="D2" s="7"/>
      <x:c r="E2" s="7"/>
      <x:c r="F2" s="7"/>
      <x:c r="G2" s="7"/>
      <x:c r="H2" s="7"/>
    </x:row>
    <x:row r="4" ht="38" customHeight="1">
      <x:c r="A4" s="16" t="str">
        <x:v>Issue ID</x:v>
      </x:c>
      <x:c r="B4" s="17" t="str">
        <x:v>Source ID</x:v>
      </x:c>
      <x:c r="C4" s="17" t="str">
        <x:v>Issue type</x:v>
      </x:c>
      <x:c r="D4" s="17" t="str">
        <x:v>Original issue</x:v>
      </x:c>
      <x:c r="E4" s="17" t="str">
        <x:v>Verification route</x:v>
      </x:c>
      <x:c r="F4" s="17" t="str">
        <x:v>Resolution status</x:v>
      </x:c>
      <x:c r="G4" s="17" t="str">
        <x:v>Authoritative URL</x:v>
      </x:c>
      <x:c r="H4" s="18" t="str">
        <x:v>Recommended action</x:v>
      </x:c>
    </x:row>
    <x:row r="5" ht="84" customHeight="1">
      <x:c r="A5" s="26" t="str">
        <x:v>ACC-001</x:v>
      </x:c>
      <x:c r="B5" s="26" t="str">
        <x:v>SRC-004</x:v>
      </x:c>
      <x:c r="C5" s="26" t="str">
        <x:v>mismatched_full_text_acquisition</x:v>
      </x:c>
      <x:c r="D5" s="26" t="str">
        <x:v>Original public-full-text acquisition is mismatched to the cited PubMed record; original DOI/PMCID '10.3390/microorganisms8111638'/'PMC7690730' must not be used. Verified DOI/PMCID: '10.1016/j.advnut.2024.100219'/'PMC11063602'.</x:v>
      </x:c>
      <x:c r="E5" s="26" t="str">
        <x:v>Europe PMC metadata and the intended source's DOI/PMC record</x:v>
      </x:c>
      <x:c r="F5" s="26" t="str">
        <x:v>alternative_public_full_text_found</x:v>
      </x:c>
      <x:c r="G5" s="26" t="str">
        <x:v>https://pmc.ncbi.nlm.nih.gov/articles/PMC11063602/</x:v>
      </x:c>
      <x:c r="H5" s="26" t="str">
        <x:v>Replace incorrect DOI/PMCID/acquisition metadata and review the correct full text before source approval.</x:v>
      </x:c>
    </x:row>
    <x:row r="6" ht="84" customHeight="1">
      <x:c r="A6" s="27" t="str">
        <x:v>ACC-002</x:v>
      </x:c>
      <x:c r="B6" s="27" t="str">
        <x:v>SRC-006</x:v>
      </x:c>
      <x:c r="C6" s="27" t="str">
        <x:v>mismatched_full_text_acquisition</x:v>
      </x:c>
      <x:c r="D6" s="27" t="str">
        <x:v>Original public-full-text acquisition is mismatched to the cited PubMed record; original DOI/PMCID '10.1097/JS9.0000000000003019'/'PMC5250567' must not be used. Verified DOI/PMCID: '10.1097/JS9.0000000000003019'/'PMC12626460'.</x:v>
      </x:c>
      <x:c r="E6" s="27" t="str">
        <x:v>Europe PMC metadata and the intended source's DOI/PMC record</x:v>
      </x:c>
      <x:c r="F6" s="27" t="str">
        <x:v>alternative_public_full_text_found</x:v>
      </x:c>
      <x:c r="G6" s="27" t="str">
        <x:v>https://pmc.ncbi.nlm.nih.gov/articles/PMC12626460/</x:v>
      </x:c>
      <x:c r="H6" s="27" t="str">
        <x:v>Replace incorrect DOI/PMCID/acquisition metadata and review the correct full text before source approval.</x:v>
      </x:c>
    </x:row>
    <x:row r="7" ht="84" customHeight="1">
      <x:c r="A7" s="27" t="str">
        <x:v>ACC-003</x:v>
      </x:c>
      <x:c r="B7" s="27" t="str">
        <x:v>SRC-007</x:v>
      </x:c>
      <x:c r="C7" s="27" t="str">
        <x:v>mismatched_full_text_acquisition</x:v>
      </x:c>
      <x:c r="D7" s="27" t="str">
        <x:v>Original public-full-text acquisition is mismatched to the cited PubMed record; original DOI/PMCID '10.2174/1389450116666150202161500'/'PMC4366573' must not be used. Verified DOI/PMCID: '10.1186/s12937-016-0183-8'/'PMC4942986'.</x:v>
      </x:c>
      <x:c r="E7" s="27" t="str">
        <x:v>Europe PMC metadata and the intended source's DOI/PMC record</x:v>
      </x:c>
      <x:c r="F7" s="27" t="str">
        <x:v>alternative_public_full_text_found</x:v>
      </x:c>
      <x:c r="G7" s="27" t="str">
        <x:v>https://pmc.ncbi.nlm.nih.gov/articles/PMC4942986/</x:v>
      </x:c>
      <x:c r="H7" s="27" t="str">
        <x:v>Replace incorrect DOI/PMCID/acquisition metadata and review the correct full text before source approval.</x:v>
      </x:c>
    </x:row>
    <x:row r="8" ht="84" customHeight="1">
      <x:c r="A8" s="27" t="str">
        <x:v>ACC-004</x:v>
      </x:c>
      <x:c r="B8" s="27" t="str">
        <x:v>SRC-008</x:v>
      </x:c>
      <x:c r="C8" s="27" t="str">
        <x:v>mismatched_full_text_acquisition</x:v>
      </x:c>
      <x:c r="D8" s="27" t="str">
        <x:v>Original public-full-text acquisition is mismatched to the cited PubMed record; original DOI/PMCID '10.1007/s10350-007-9003-8'/'PMC6314770' must not be used. Verified DOI/PMCID: '10.3390/nu15173824'/'PMC10489664'.</x:v>
      </x:c>
      <x:c r="E8" s="27" t="str">
        <x:v>Europe PMC metadata and the intended source's DOI/PMC record</x:v>
      </x:c>
      <x:c r="F8" s="27" t="str">
        <x:v>alternative_public_full_text_found</x:v>
      </x:c>
      <x:c r="G8" s="27" t="str">
        <x:v>https://pmc.ncbi.nlm.nih.gov/articles/PMC10489664/</x:v>
      </x:c>
      <x:c r="H8" s="27" t="str">
        <x:v>Replace incorrect DOI/PMCID/acquisition metadata and review the correct full text before source approval.</x:v>
      </x:c>
    </x:row>
    <x:row r="9" ht="84" customHeight="1">
      <x:c r="A9" s="27" t="str">
        <x:v>ACC-005</x:v>
      </x:c>
      <x:c r="B9" s="27" t="str">
        <x:v>SRC-009</x:v>
      </x:c>
      <x:c r="C9" s="27" t="str">
        <x:v>mismatched_full_text_acquisition</x:v>
      </x:c>
      <x:c r="D9" s="27" t="str">
        <x:v>Original public-full-text acquisition is mismatched to the cited PubMed record; original DOI/PMCID '10.1002/jgh3.12817'/'PMC8719151' must not be used. Verified DOI/PMCID: '10.1002/jgh3.12817'/'PMC9667405'.</x:v>
      </x:c>
      <x:c r="E9" s="27" t="str">
        <x:v>Europe PMC metadata and the intended source's DOI/PMC record</x:v>
      </x:c>
      <x:c r="F9" s="27" t="str">
        <x:v>alternative_public_full_text_found</x:v>
      </x:c>
      <x:c r="G9" s="27" t="str">
        <x:v>https://pmc.ncbi.nlm.nih.gov/articles/PMC9667405/</x:v>
      </x:c>
      <x:c r="H9" s="27" t="str">
        <x:v>Replace incorrect DOI/PMCID/acquisition metadata and review the correct full text before source approval.</x:v>
      </x:c>
    </x:row>
    <x:row r="10" ht="84" customHeight="1">
      <x:c r="A10" s="27" t="str">
        <x:v>ACC-006</x:v>
      </x:c>
      <x:c r="B10" s="27" t="str">
        <x:v>SRC-010</x:v>
      </x:c>
      <x:c r="C10" s="27" t="str">
        <x:v>mismatched_full_text_acquisition</x:v>
      </x:c>
      <x:c r="D10" s="27" t="str">
        <x:v>Original public-full-text acquisition is mismatched to the cited PubMed record; original DOI/PMCID '10.1186/s13643-020-01426-2'/'PMC1513293' must not be used. Verified DOI/PMCID: '10.1186/s13643-020-01426-2'/'PMC7395978'.</x:v>
      </x:c>
      <x:c r="E10" s="27" t="str">
        <x:v>Europe PMC metadata and the intended source's DOI/PMC record</x:v>
      </x:c>
      <x:c r="F10" s="27" t="str">
        <x:v>alternative_public_full_text_found</x:v>
      </x:c>
      <x:c r="G10" s="27" t="str">
        <x:v>https://pmc.ncbi.nlm.nih.gov/articles/PMC7395978/</x:v>
      </x:c>
      <x:c r="H10" s="27" t="str">
        <x:v>Replace incorrect DOI/PMCID/acquisition metadata and review the correct full text before source approval.</x:v>
      </x:c>
    </x:row>
    <x:row r="11" ht="84" customHeight="1">
      <x:c r="A11" s="27" t="str">
        <x:v>ACC-007</x:v>
      </x:c>
      <x:c r="B11" s="27" t="str">
        <x:v>SRC-011</x:v>
      </x:c>
      <x:c r="C11" s="27" t="str">
        <x:v>mismatched_full_text_acquisition</x:v>
      </x:c>
      <x:c r="D11" s="27" t="str">
        <x:v>Original public-full-text acquisition is mismatched to the cited PubMed record; original DOI/PMCID '10.1093/advances/nmaa145'/'PMC3649719' must not be used. Verified DOI/PMCID: '10.1093/advances/nmaa145'/'PMC8166559'.</x:v>
      </x:c>
      <x:c r="E11" s="27" t="str">
        <x:v>Europe PMC metadata and the intended source's DOI/PMC record</x:v>
      </x:c>
      <x:c r="F11" s="27" t="str">
        <x:v>alternative_public_full_text_found</x:v>
      </x:c>
      <x:c r="G11" s="27" t="str">
        <x:v>https://pmc.ncbi.nlm.nih.gov/articles/PMC8166559/</x:v>
      </x:c>
      <x:c r="H11" s="27" t="str">
        <x:v>Replace incorrect DOI/PMCID/acquisition metadata and review the correct full text before source approval.</x:v>
      </x:c>
    </x:row>
    <x:row r="12" ht="84" customHeight="1">
      <x:c r="A12" s="27" t="str">
        <x:v>ACC-008</x:v>
      </x:c>
      <x:c r="B12" s="27" t="str">
        <x:v>SRC-013</x:v>
      </x:c>
      <x:c r="C12" s="27" t="str">
        <x:v>mismatched_full_text_acquisition</x:v>
      </x:c>
      <x:c r="D12" s="27" t="str">
        <x:v>Original public-full-text acquisition is mismatched to the cited PubMed record; original DOI/PMCID '10.1128/microbiolspec.BAD-0010-2016'/'5941818' must not be used. Verified DOI/PMCID: '10.1038/s41575-024-00893-5'/'blank'. The intended review's public abstract is available, but no legitimate public full text was located.</x:v>
      </x:c>
      <x:c r="E12" s="27" t="str">
        <x:v>Europe PMC metadata and the intended source's DOI/PMC record</x:v>
      </x:c>
      <x:c r="F12" s="27" t="str">
        <x:v>unresolved</x:v>
      </x:c>
      <x:c r="G12" s="27" t="str">
        <x:v>https://pubmed.ncbi.nlm.nih.gov/38388570/</x:v>
      </x:c>
      <x:c r="H12" s="27" t="str">
        <x:v>Replace incorrect DOI/PMCID/acquisition metadata and review the correct full text before source approval.</x:v>
      </x:c>
    </x:row>
    <x:row r="13" ht="84" customHeight="1">
      <x:c r="A13" s="27" t="str">
        <x:v>ACC-009</x:v>
      </x:c>
      <x:c r="B13" s="27" t="str">
        <x:v>SRC-016</x:v>
      </x:c>
      <x:c r="C13" s="27" t="str">
        <x:v>mismatched_full_text_acquisition</x:v>
      </x:c>
      <x:c r="D13" s="27" t="str">
        <x:v>Original public-full-text acquisition is mismatched to the cited PubMed record; original DOI/PMCID '10.1053/j.gastro.2021.05.047'/'PMC6718954' must not be used. Verified DOI/PMCID: '10.1053/j.gastro.2021.05.047'/'PMC8396394'.</x:v>
      </x:c>
      <x:c r="E13" s="27" t="str">
        <x:v>Europe PMC metadata and the intended source's DOI/PMC record</x:v>
      </x:c>
      <x:c r="F13" s="27" t="str">
        <x:v>alternative_public_full_text_found</x:v>
      </x:c>
      <x:c r="G13" s="27" t="str">
        <x:v>https://pmc.ncbi.nlm.nih.gov/articles/PMC8396394/</x:v>
      </x:c>
      <x:c r="H13" s="27" t="str">
        <x:v>Replace incorrect DOI/PMCID/acquisition metadata and review the correct full text before source approval.</x:v>
      </x:c>
    </x:row>
    <x:row r="14" ht="84" customHeight="1">
      <x:c r="A14" s="27" t="str">
        <x:v>ACC-010</x:v>
      </x:c>
      <x:c r="B14" s="27" t="str">
        <x:v>SRC-018</x:v>
      </x:c>
      <x:c r="C14" s="27" t="str">
        <x:v>mismatched_full_text_acquisition</x:v>
      </x:c>
      <x:c r="D14" s="27" t="str">
        <x:v>Original public-full-text acquisition is mismatched to the cited PubMed record; original DOI/PMCID '10.1097/MPG.0b013e3181c92c53'/'PMC5434712' must not be used. Verified DOI/PMCID: '10.1053/j.gastro.2019.03.015'/'PMC6726378'.</x:v>
      </x:c>
      <x:c r="E14" s="27" t="str">
        <x:v>Europe PMC metadata and the intended source's DOI/PMC record</x:v>
      </x:c>
      <x:c r="F14" s="27" t="str">
        <x:v>alternative_public_full_text_found</x:v>
      </x:c>
      <x:c r="G14" s="27" t="str">
        <x:v>https://pmc.ncbi.nlm.nih.gov/articles/PMC6726378/</x:v>
      </x:c>
      <x:c r="H14" s="27" t="str">
        <x:v>Replace incorrect DOI/PMCID/acquisition metadata and review the correct full text before source approval.</x:v>
      </x:c>
    </x:row>
    <x:row r="15" ht="84" customHeight="1">
      <x:c r="A15" s="27" t="str">
        <x:v>ACC-011</x:v>
      </x:c>
      <x:c r="B15" s="27" t="str">
        <x:v>SRC-020</x:v>
      </x:c>
      <x:c r="C15" s="27" t="str">
        <x:v>mismatched_full_text_acquisition</x:v>
      </x:c>
      <x:c r="D15" s="27" t="str">
        <x:v>Original public-full-text acquisition is mismatched to the cited PubMed record; original DOI/PMCID '10.1080/16546628.2017.1305193'/'PMC5404419' must not be used. Verified DOI/PMCID: '10.1136/bmj.n1554'/'PMC8279036'.</x:v>
      </x:c>
      <x:c r="E15" s="27" t="str">
        <x:v>Europe PMC metadata and the intended source's DOI/PMC record</x:v>
      </x:c>
      <x:c r="F15" s="27" t="str">
        <x:v>alternative_public_full_text_found</x:v>
      </x:c>
      <x:c r="G15" s="27" t="str">
        <x:v>https://pmc.ncbi.nlm.nih.gov/articles/PMC8279036/</x:v>
      </x:c>
      <x:c r="H15" s="27" t="str">
        <x:v>Replace incorrect DOI/PMCID/acquisition metadata and review the correct full text before source approval.</x:v>
      </x:c>
    </x:row>
    <x:row r="16" ht="84" customHeight="1">
      <x:c r="A16" s="27" t="str">
        <x:v>ACC-012</x:v>
      </x:c>
      <x:c r="B16" s="27" t="str">
        <x:v>SRC-021</x:v>
      </x:c>
      <x:c r="C16" s="27" t="str">
        <x:v>original_http_403</x:v>
      </x:c>
      <x:c r="D16" s="27" t="str">
        <x:v>Original automated acquisition received HTTP 403 from Oxford Academic.</x:v>
      </x:c>
      <x:c r="E16" s="27" t="str">
        <x:v>Authoritative Oxford Academic page plus ECCO society material; no access restriction bypassed.</x:v>
      </x:c>
      <x:c r="F16" s="27" t="str">
        <x:v>resolved</x:v>
      </x:c>
      <x:c r="G16" s="27" t="str">
        <x:v>https://ecco-ibd.eu/publications/news/issues/2025/volume-20-issue-4/dietary-management-of-inflammatory-bowel-disease-an-ecco-consensus</x:v>
      </x:c>
      <x:c r="H16" s="27" t="str">
        <x:v>Use the now-verifiable authoritative passage and retain source attribution.</x:v>
      </x:c>
    </x:row>
    <x:row r="17" ht="84" customHeight="1">
      <x:c r="A17" s="27" t="str">
        <x:v>ACC-013</x:v>
      </x:c>
      <x:c r="B17" s="27" t="str">
        <x:v>SRC-022</x:v>
      </x:c>
      <x:c r="C17" s="27" t="str">
        <x:v>original_http_403</x:v>
      </x:c>
      <x:c r="D17" s="27" t="str">
        <x:v>Original automated acquisition received HTTP 403 from Oxford Academic.</x:v>
      </x:c>
      <x:c r="E17" s="27" t="str">
        <x:v>Authoritative Oxford Academic page plus ECCO society material; no access restriction bypassed.</x:v>
      </x:c>
      <x:c r="F17" s="27" t="str">
        <x:v>resolved</x:v>
      </x:c>
      <x:c r="G17" s="27" t="str">
        <x:v>https://academic.oup.com/ecco-jcc/article/18/10/1531/7693895</x:v>
      </x:c>
      <x:c r="H17" s="27" t="str">
        <x:v>Use the now-verifiable authoritative passage and retain source attribution.</x:v>
      </x:c>
    </x:row>
    <x:row r="18" ht="84" customHeight="1">
      <x:c r="A18" s="27" t="str">
        <x:v>ACC-014</x:v>
      </x:c>
      <x:c r="B18" s="27" t="str">
        <x:v>SRC-002</x:v>
      </x:c>
      <x:c r="C18" s="27" t="str">
        <x:v>abstract_only</x:v>
      </x:c>
      <x:c r="D18" s="27" t="str">
        <x:v>No legitimate public full text located.</x:v>
      </x:c>
      <x:c r="E18" s="27" t="str">
        <x:v>PubMed, Europe PMC, DOI metadata, official journal page, and repository search.</x:v>
      </x:c>
      <x:c r="F18" s="27" t="str">
        <x:v>unresolved</x:v>
      </x:c>
      <x:c r="G18" s="27" t="str">
        <x:v>https://pubmed.ncbi.nlm.nih.gov/38276922/</x:v>
      </x:c>
      <x:c r="H18" s="27" t="str">
        <x:v>Limit claims to the abstract and reject any claim requiring methods, subgroup, or full-results verification.</x:v>
      </x:c>
    </x:row>
    <x:row r="19" ht="84" customHeight="1">
      <x:c r="A19" s="27" t="str">
        <x:v>ACC-015</x:v>
      </x:c>
      <x:c r="B19" s="27" t="str">
        <x:v>SRC-015</x:v>
      </x:c>
      <x:c r="C19" s="27" t="str">
        <x:v>abstract_only</x:v>
      </x:c>
      <x:c r="D19" s="27" t="str">
        <x:v>No legitimate public full text located.</x:v>
      </x:c>
      <x:c r="E19" s="27" t="str">
        <x:v>PubMed, Europe PMC, DOI metadata, official journal page, and repository search.</x:v>
      </x:c>
      <x:c r="F19" s="27" t="str">
        <x:v>unresolved</x:v>
      </x:c>
      <x:c r="G19" s="27" t="str">
        <x:v>https://pubmed.ncbi.nlm.nih.gov/31014995/</x:v>
      </x:c>
      <x:c r="H19" s="27" t="str">
        <x:v>Limit claims to the abstract and reject any claim requiring methods, subgroup, or full-results verification.</x:v>
      </x:c>
    </x:row>
    <x:row r="20" ht="84" customHeight="1">
      <x:c r="A20" s="28" t="str">
        <x:v>ACC-016</x:v>
      </x:c>
      <x:c r="B20" s="28" t="str">
        <x:v>SRC-017</x:v>
      </x:c>
      <x:c r="C20" s="28" t="str">
        <x:v>abstract_only</x:v>
      </x:c>
      <x:c r="D20" s="28" t="str">
        <x:v>No legitimate public full text located.</x:v>
      </x:c>
      <x:c r="E20" s="28" t="str">
        <x:v>PubMed, Europe PMC, DOI metadata, official journal page, and repository search.</x:v>
      </x:c>
      <x:c r="F20" s="28" t="str">
        <x:v>unresolved</x:v>
      </x:c>
      <x:c r="G20" s="28" t="str">
        <x:v>https://pubmed.ncbi.nlm.nih.gov/31170412/</x:v>
      </x:c>
      <x:c r="H20" s="28" t="str">
        <x:v>Limit claims to the abstract and reject any claim requiring methods, subgroup, or full-results verification.</x:v>
      </x:c>
    </x:row>
  </x:sheetData>
  <x:mergeCells>
    <x:mergeCell ref="A1:H1"/>
    <x:mergeCell ref="A2:H2"/>
  </x:mergeCells>
  <x:conditionalFormatting sqref="F5:F20">
    <x:cfRule type="containsText" dxfId="25" priority="1" operator="containsText" text="ready_for_review"/>
    <x:cfRule type="containsText" dxfId="26" priority="2" operator="containsText" text="revision"/>
    <x:cfRule type="containsText" dxfId="27" priority="3" operator="containsText" text="needs"/>
    <x:cfRule type="containsText" dxfId="28" priority="4" operator="containsText" text="insufficient"/>
    <x:cfRule type="containsText" dxfId="29" priority="5" operator="containsText" text="superseded"/>
    <x:cfRule type="containsText" dxfId="30" priority="6" operator="containsText" text="reject"/>
  </x:conditionalFormatting>
  <x:pageMargins left="0.7" right="0.7" top="0.75" bottom="0.75" header="0.3" footer="0.3"/>
  <x:tableParts count="1">
    <x:tablePart xmlns:r="http://schemas.openxmlformats.org/officeDocument/2006/relationships" r:id="R338ab5ebcdc4493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8" hidden="0" customWidth="1"/>
    <x:col min="2" max="2" width="54" hidden="0" customWidth="1"/>
    <x:col min="3" max="3" width="34" hidden="0" customWidth="1"/>
  </x:cols>
  <x:sheetData>
    <x:row r="1" ht="30" customHeight="1">
      <x:c r="A1" s="3" t="str">
        <x:v>Rejected and deferred source candidates</x:v>
      </x:c>
      <x:c r="B1" s="3"/>
      <x:c r="C1" s="3"/>
    </x:row>
    <x:row r="2" ht="42" customHeight="1">
      <x:c r="A2" s="7" t="str">
        <x:v>Original candidate exclusions are preserved. This QA task did not conduct broad new research or reconsider the source cap.</x:v>
      </x:c>
      <x:c r="B2" s="7"/>
      <x:c r="C2" s="7"/>
    </x:row>
    <x:row r="4" ht="38" customHeight="1">
      <x:c r="A4" s="16" t="str">
        <x:v>Rejected or deferred candidate</x:v>
      </x:c>
      <x:c r="B4" s="17" t="str">
        <x:v>Original decision reason</x:v>
      </x:c>
      <x:c r="C4" s="18" t="str">
        <x:v>QA disposition</x:v>
      </x:c>
    </x:row>
    <x:row r="5" ht="60" customHeight="1">
      <x:c r="A5" s="26" t="str">
        <x:v>British Society of Gastroenterology consensus guidelines on the management of inflammatory bowel disease in adults.</x:v>
      </x:c>
      <x:c r="B5" s="26" t="str">
        <x:v>Selected-source cap reached</x:v>
      </x:c>
      <x:c r="C5" s="26" t="str">
        <x:v>Preserved; not re-researched in this bounded QA pass</x:v>
      </x:c>
    </x:row>
    <x:row r="6" ht="60" customHeight="1">
      <x:c r="A6" s="27" t="str">
        <x:v>The role of diet in inflammatory bowel disease: A comprehensive review of the literature.</x:v>
      </x:c>
      <x:c r="B6" s="27" t="str">
        <x:v>Selected-source cap reached</x:v>
      </x:c>
      <x:c r="C6" s="27" t="str">
        <x:v>Preserved; not re-researched in this bounded QA pass</x:v>
      </x:c>
    </x:row>
    <x:row r="7" ht="60" customHeight="1">
      <x:c r="A7" s="27" t="str">
        <x:v>Using Diet to Treat Inflammatory Bowel Disease: A Systematic Review.</x:v>
      </x:c>
      <x:c r="B7" s="27" t="str">
        <x:v>Selected-source cap reached</x:v>
      </x:c>
      <x:c r="C7" s="27" t="str">
        <x:v>Preserved; not re-researched in this bounded QA pass</x:v>
      </x:c>
    </x:row>
    <x:row r="8" ht="60" customHeight="1">
      <x:c r="A8" s="27" t="str">
        <x:v>Dietary interventions for induction and maintenance of remission in inflammatory bowel disease.</x:v>
      </x:c>
      <x:c r="B8" s="27" t="str">
        <x:v>Selected-source cap reached</x:v>
      </x:c>
      <x:c r="C8" s="27" t="str">
        <x:v>Preserved; not re-researched in this bounded QA pass</x:v>
      </x:c>
    </x:row>
    <x:row r="9" ht="60" customHeight="1">
      <x:c r="A9" s="27" t="str">
        <x:v>Balancing risks and benefits of cannabis use: umbrella review of meta-analyses of randomised controlled trials and observational studies.</x:v>
      </x:c>
      <x:c r="B9" s="27" t="str">
        <x:v>Selected-source cap reached</x:v>
      </x:c>
      <x:c r="C9" s="27" t="str">
        <x:v>Preserved; not re-researched in this bounded QA pass</x:v>
      </x:c>
    </x:row>
    <x:row r="10" ht="60" customHeight="1">
      <x:c r="A10" s="27" t="str">
        <x:v>The Gastro-Circadian Metabolic Axis: A Comprehensive Framework for Chronotherapy in Gastroenterology.</x:v>
      </x:c>
      <x:c r="B10" s="27" t="str">
        <x:v>Selected-source cap reached</x:v>
      </x:c>
      <x:c r="C10" s="27" t="str">
        <x:v>Preserved; not re-researched in this bounded QA pass</x:v>
      </x:c>
    </x:row>
    <x:row r="11" ht="60" customHeight="1">
      <x:c r="A11" s="27" t="str">
        <x:v>Partial Enteral Nutrition in the Management of Crohn's Disease: A Systematic Review and Meta-Analysis.</x:v>
      </x:c>
      <x:c r="B11" s="27" t="str">
        <x:v>Selected-source cap reached</x:v>
      </x:c>
      <x:c r="C11" s="27" t="str">
        <x:v>Preserved; not re-researched in this bounded QA pass</x:v>
      </x:c>
    </x:row>
    <x:row r="12" ht="60" customHeight="1">
      <x:c r="A12" s="27" t="str">
        <x:v>Probiotics for maintenance of remission in ulcerative colitis.</x:v>
      </x:c>
      <x:c r="B12" s="27" t="str">
        <x:v>Selected-source cap reached</x:v>
      </x:c>
      <x:c r="C12" s="27" t="str">
        <x:v>Preserved; not re-researched in this bounded QA pass</x:v>
      </x:c>
    </x:row>
    <x:row r="13" ht="60" customHeight="1">
      <x:c r="A13" s="27" t="str">
        <x:v>Prognostic Factors for Advanced Colorectal Neoplasia in Inflammatory Bowel Disease: Systematic Review and Meta-analysis.</x:v>
      </x:c>
      <x:c r="B13" s="27" t="str">
        <x:v>Selected-source cap reached</x:v>
      </x:c>
      <x:c r="C13" s="27" t="str">
        <x:v>Preserved; not re-researched in this bounded QA pass</x:v>
      </x:c>
    </x:row>
    <x:row r="14" ht="60" customHeight="1">
      <x:c r="A14" s="27" t="str">
        <x:v>Low FODMAP Diet for Functional Gastrointestinal Symptoms in Quiescent Inflammatory Bowel Disease: A Systematic Review of Randomized Controlled Trials.</x:v>
      </x:c>
      <x:c r="B14" s="27" t="str">
        <x:v>Selected-source cap reached</x:v>
      </x:c>
      <x:c r="C14" s="27" t="str">
        <x:v>Preserved; not re-researched in this bounded QA pass</x:v>
      </x:c>
    </x:row>
    <x:row r="15" ht="60" customHeight="1">
      <x:c r="A15" s="27" t="str">
        <x:v>Dietary modifications for infantile colic.</x:v>
      </x:c>
      <x:c r="B15" s="27" t="str">
        <x:v>Selected-source cap reached</x:v>
      </x:c>
      <x:c r="C15" s="27" t="str">
        <x:v>Preserved; not re-researched in this bounded QA pass</x:v>
      </x:c>
    </x:row>
    <x:row r="16" ht="60" customHeight="1">
      <x:c r="A16" s="27" t="str">
        <x:v>Clinical effects and gut microbiota changes of using probiotics, prebiotics or synbiotics in inflammatory bowel disease: a systematic review and meta-analysis.</x:v>
      </x:c>
      <x:c r="B16" s="27" t="str">
        <x:v>Selected-source cap reached</x:v>
      </x:c>
      <x:c r="C16" s="27" t="str">
        <x:v>Preserved; not re-researched in this bounded QA pass</x:v>
      </x:c>
    </x:row>
    <x:row r="17" ht="60" customHeight="1">
      <x:c r="A17" s="27" t="str">
        <x:v>Targeting gut microbiota dysbiosis in inflammatory bowel disease: a systematic review of current evidence.</x:v>
      </x:c>
      <x:c r="B17" s="27" t="str">
        <x:v>Selected-source cap reached</x:v>
      </x:c>
      <x:c r="C17" s="27" t="str">
        <x:v>Preserved; not re-researched in this bounded QA pass</x:v>
      </x:c>
    </x:row>
    <x:row r="18" ht="60" customHeight="1">
      <x:c r="A18" s="27" t="str">
        <x:v>Food additives and their implication in inflammatory bowel disease and metabolic syndrome.</x:v>
      </x:c>
      <x:c r="B18" s="27" t="str">
        <x:v>Selected-source cap reached</x:v>
      </x:c>
      <x:c r="C18" s="27" t="str">
        <x:v>Preserved; not re-researched in this bounded QA pass</x:v>
      </x:c>
    </x:row>
    <x:row r="19" ht="60" customHeight="1">
      <x:c r="A19" s="27" t="str">
        <x:v>A Systematic Review of Sleep Disturbances in Pediatric Inflammatory Bowel Disease.</x:v>
      </x:c>
      <x:c r="B19" s="27" t="str">
        <x:v>Selected-source cap reached</x:v>
      </x:c>
      <x:c r="C19" s="27" t="str">
        <x:v>Preserved; not re-researched in this bounded QA pass</x:v>
      </x:c>
    </x:row>
    <x:row r="20" ht="60" customHeight="1">
      <x:c r="A20" s="27" t="str">
        <x:v>Mindfulness-Based Interventions on Psychological Comorbidities in Patients with Inflammatory Bowel Disease: A Systematic Review and Meta-Analysis.</x:v>
      </x:c>
      <x:c r="B20" s="27" t="str">
        <x:v>Selected-source cap reached</x:v>
      </x:c>
      <x:c r="C20" s="27" t="str">
        <x:v>Preserved; not re-researched in this bounded QA pass</x:v>
      </x:c>
    </x:row>
    <x:row r="21" ht="60" customHeight="1">
      <x:c r="A21" s="27" t="str">
        <x:v>Risks Factors Associated with the Development of Crohn's Disease After Ileal Pouch-Anal Anastomosis for Ulcerative Colitis: A Systematic Review and Meta-Analysis.</x:v>
      </x:c>
      <x:c r="B21" s="27" t="str">
        <x:v>Selected-source cap reached</x:v>
      </x:c>
      <x:c r="C21" s="27" t="str">
        <x:v>Preserved; not re-researched in this bounded QA pass</x:v>
      </x:c>
    </x:row>
    <x:row r="22" ht="60" customHeight="1">
      <x:c r="A22" s="27" t="str">
        <x:v>Does Consumption of Fermented Foods Modify the Human Gut Microbiota?</x:v>
      </x:c>
      <x:c r="B22" s="27" t="str">
        <x:v>Selected-source cap reached</x:v>
      </x:c>
      <x:c r="C22" s="27" t="str">
        <x:v>Preserved; not re-researched in this bounded QA pass</x:v>
      </x:c>
    </x:row>
    <x:row r="23" ht="60" customHeight="1">
      <x:c r="A23" s="27" t="str">
        <x:v>Probiotic Yeasts: A Developing Reality?</x:v>
      </x:c>
      <x:c r="B23" s="27" t="str">
        <x:v>Selected-source cap reached</x:v>
      </x:c>
      <x:c r="C23" s="27" t="str">
        <x:v>Preserved; not re-researched in this bounded QA pass</x:v>
      </x:c>
    </x:row>
    <x:row r="24" ht="60" customHeight="1">
      <x:c r="A24" s="27" t="str">
        <x:v>Medical management of severe inflammatory disease of the rectum: nutritional aspects.</x:v>
      </x:c>
      <x:c r="B24" s="27" t="str">
        <x:v>Selected-source cap reached</x:v>
      </x:c>
      <x:c r="C24" s="27" t="str">
        <x:v>Preserved; not re-researched in this bounded QA pass</x:v>
      </x:c>
    </x:row>
    <x:row r="25" ht="60" customHeight="1">
      <x:c r="A25" s="27" t="str">
        <x:v>Prebiotics for Induction and Maintenance of Remission in Inflammatory Bowel Disease: Systematic Review and Meta-Analysis.</x:v>
      </x:c>
      <x:c r="B25" s="27" t="str">
        <x:v>Selected-source cap reached</x:v>
      </x:c>
      <x:c r="C25" s="27" t="str">
        <x:v>Preserved; not re-researched in this bounded QA pass</x:v>
      </x:c>
    </x:row>
    <x:row r="26" ht="60" customHeight="1">
      <x:c r="A26" s="27" t="str">
        <x:v>Efficacy of psychological therapies in people with inflammatory bowel disease: a systematic review and meta-analysis.</x:v>
      </x:c>
      <x:c r="B26" s="27" t="str">
        <x:v>Selected-source cap reached</x:v>
      </x:c>
      <x:c r="C26" s="27" t="str">
        <x:v>Preserved; not re-researched in this bounded QA pass</x:v>
      </x:c>
    </x:row>
    <x:row r="27" ht="60" customHeight="1">
      <x:c r="A27" s="27" t="str">
        <x:v>Immunogenicity and Efficacy of Subcutaneous Infliximab Monotherapy vs Combination Therapy in Inflammatory Bowel Disease: A Systematic Review and Meta-analysis.</x:v>
      </x:c>
      <x:c r="B27" s="27" t="str">
        <x:v>Selected-source cap reached</x:v>
      </x:c>
      <x:c r="C27" s="27" t="str">
        <x:v>Preserved; not re-researched in this bounded QA pass</x:v>
      </x:c>
    </x:row>
    <x:row r="28" ht="60" customHeight="1">
      <x:c r="A28" s="27" t="str">
        <x:v>Effects of Mediterranean Diet, Curcumin, and Resveratrol on Mild-to-Moderate Active Ulcerative Colitis: A Multicenter Randomized Clinical Trial.</x:v>
      </x:c>
      <x:c r="B28" s="27" t="str">
        <x:v>Selected-source cap reached</x:v>
      </x:c>
      <x:c r="C28" s="27" t="str">
        <x:v>Preserved; not re-researched in this bounded QA pass</x:v>
      </x:c>
    </x:row>
    <x:row r="29" ht="60" customHeight="1">
      <x:c r="A29" s="27" t="str">
        <x:v>Systematic review with meta-analysis: enteral nutrition therapy for the induction of remission in paediatric Crohn's disease.</x:v>
      </x:c>
      <x:c r="B29" s="27" t="str">
        <x:v>Selected-source cap reached</x:v>
      </x:c>
      <x:c r="C29" s="27" t="str">
        <x:v>Preserved; not re-researched in this bounded QA pass</x:v>
      </x:c>
    </x:row>
    <x:row r="30" ht="60" customHeight="1">
      <x:c r="A30" s="27" t="str">
        <x:v>Health Benefits of Fiber Fermentation.</x:v>
      </x:c>
      <x:c r="B30" s="27" t="str">
        <x:v>Selected-source cap reached</x:v>
      </x:c>
      <x:c r="C30" s="27" t="str">
        <x:v>Preserved; not re-researched in this bounded QA pass</x:v>
      </x:c>
    </x:row>
    <x:row r="31" ht="60" customHeight="1">
      <x:c r="A31" s="27" t="str">
        <x:v>36th International Symposium on Intensive Care and Emergency Medicine : Brussels, Belgium. 15-18 March 2016.</x:v>
      </x:c>
      <x:c r="B31" s="27" t="str">
        <x:v>Selected-source cap reached</x:v>
      </x:c>
      <x:c r="C31" s="27" t="str">
        <x:v>Preserved; not re-researched in this bounded QA pass</x:v>
      </x:c>
    </x:row>
    <x:row r="32" ht="60" customHeight="1">
      <x:c r="A32" s="27" t="str">
        <x:v>Ultra-Processed Food Consumption and Long-Term Risk of Irritable Bowel Syndrome: A Large-Scale Prospective Cohort Study.</x:v>
      </x:c>
      <x:c r="B32" s="27" t="str">
        <x:v>Selected-source cap reached</x:v>
      </x:c>
      <x:c r="C32" s="27" t="str">
        <x:v>Preserved; not re-researched in this bounded QA pass</x:v>
      </x:c>
    </x:row>
    <x:row r="33" ht="60" customHeight="1">
      <x:c r="A33" s="27" t="str">
        <x:v>Intake of Ultra-processed Foods Is Associated with an Increased Risk of Crohn's Disease: A Cross-sectional and Prospective Analysis of 187 154 Participants in the UK Biobank.</x:v>
      </x:c>
      <x:c r="B33" s="27" t="str">
        <x:v>Selected-source cap reached</x:v>
      </x:c>
      <x:c r="C33" s="27" t="str">
        <x:v>Preserved; not re-researched in this bounded QA pass</x:v>
      </x:c>
    </x:row>
    <x:row r="34" ht="60" customHeight="1">
      <x:c r="A34" s="27" t="str">
        <x:v>Efficacy of FODMAP Elimination and Subsequent Blinded Placebo-Controlled Provocations in a Randomised Controlled Study in Patients with Ulcerative Colitis in Remission and Symptoms of Irritable Bowel Syndrome: A Feasibility Study.</x:v>
      </x:c>
      <x:c r="B34" s="27" t="str">
        <x:v>Selected-source cap reached</x:v>
      </x:c>
      <x:c r="C34" s="27" t="str">
        <x:v>Preserved; not re-researched in this bounded QA pass</x:v>
      </x:c>
    </x:row>
    <x:row r="35" ht="60" customHeight="1">
      <x:c r="A35" s="27" t="str">
        <x:v>Remission induction and maintenance effect of probiotics on ulcerative colitis: a meta-analysis.</x:v>
      </x:c>
      <x:c r="B35" s="27" t="str">
        <x:v>Selected-source cap reached</x:v>
      </x:c>
      <x:c r="C35" s="27" t="str">
        <x:v>Preserved; not re-researched in this bounded QA pass</x:v>
      </x:c>
    </x:row>
    <x:row r="36" ht="60" customHeight="1">
      <x:c r="A36" s="27" t="str">
        <x:v>A Systematic Review of Micronutrient Deficiencies in Pediatric Inflammatory Bowel Disease.</x:v>
      </x:c>
      <x:c r="B36" s="27" t="str">
        <x:v>Selected-source cap reached</x:v>
      </x:c>
      <x:c r="C36" s="27" t="str">
        <x:v>Preserved; not re-researched in this bounded QA pass</x:v>
      </x:c>
    </x:row>
    <x:row r="37" ht="60" customHeight="1">
      <x:c r="A37" s="27" t="str">
        <x:v>Dyssynergic Defecation in Inflammatory Bowel Disease: A Systematic Review and Meta-Analysis.</x:v>
      </x:c>
      <x:c r="B37" s="27" t="str">
        <x:v>Selected-source cap reached</x:v>
      </x:c>
      <x:c r="C37" s="27" t="str">
        <x:v>Preserved; not re-researched in this bounded QA pass</x:v>
      </x:c>
    </x:row>
    <x:row r="38" ht="60" customHeight="1">
      <x:c r="A38" s="27" t="str">
        <x:v>Review article: emulsifiers in the food supply and implications for gastrointestinal disease.</x:v>
      </x:c>
      <x:c r="B38" s="27" t="str">
        <x:v>Selected-source cap reached</x:v>
      </x:c>
      <x:c r="C38" s="27" t="str">
        <x:v>Preserved; not re-researched in this bounded QA pass</x:v>
      </x:c>
    </x:row>
    <x:row r="39" ht="60" customHeight="1">
      <x:c r="A39" s="27" t="str">
        <x:v>Low-FODMAP diet reduces irritable bowel symptoms in patients with inflammatory bowel disease.</x:v>
      </x:c>
      <x:c r="B39" s="27" t="str">
        <x:v>Selected-source cap reached</x:v>
      </x:c>
      <x:c r="C39" s="27" t="str">
        <x:v>Preserved; not re-researched in this bounded QA pass</x:v>
      </x:c>
    </x:row>
    <x:row r="40" ht="60" customHeight="1">
      <x:c r="A40" s="27" t="str">
        <x:v>The Crohn's disease exclusion diet for induction and maintenance of remission in adults with mild-to-moderate Crohn's disease (CDED-AD): an open-label, pilot, randomised trial.</x:v>
      </x:c>
      <x:c r="B40" s="27" t="str">
        <x:v>Selected-source cap reached</x:v>
      </x:c>
      <x:c r="C40" s="27" t="str">
        <x:v>Preserved; not re-researched in this bounded QA pass</x:v>
      </x:c>
    </x:row>
    <x:row r="41" ht="60" customHeight="1">
      <x:c r="A41" s="27" t="str">
        <x:v>Exclusive enteral nutrition practices in the management of Crohn's disease: A cross sectional survey of specialist paediatric dietitians.</x:v>
      </x:c>
      <x:c r="B41" s="27" t="str">
        <x:v>Selected-source cap reached</x:v>
      </x:c>
      <x:c r="C41" s="27" t="str">
        <x:v>Preserved; not re-researched in this bounded QA pass</x:v>
      </x:c>
    </x:row>
    <x:row r="42" ht="60" customHeight="1">
      <x:c r="A42" s="27" t="str">
        <x:v>Modified Crohn's Disease Exclusion Diet Maintains Remission in Pediatric Crohn's Disease: Randomized Controlled Trial.</x:v>
      </x:c>
      <x:c r="B42" s="27" t="str">
        <x:v>Selected-source cap reached</x:v>
      </x:c>
      <x:c r="C42" s="27" t="str">
        <x:v>Preserved; not re-researched in this bounded QA pass</x:v>
      </x:c>
    </x:row>
    <x:row r="43" ht="60" customHeight="1">
      <x:c r="A43" s="27" t="str">
        <x:v>Editorial: the reduction of faecal calprotectin during exclusive enteral nutrition is lost rapidly after food reintroduction.</x:v>
      </x:c>
      <x:c r="B43" s="27" t="str">
        <x:v>No usable abstract or public passage</x:v>
      </x:c>
      <x:c r="C43" s="27" t="str">
        <x:v>Preserved; not re-researched in this bounded QA pass</x:v>
      </x:c>
    </x:row>
    <x:row r="44" ht="60" customHeight="1">
      <x:c r="A44" s="28" t="str">
        <x:v>Standard versus rapid food reintroduction after exclusive enteral nutritional therapy in paediatric Crohn's disease.</x:v>
      </x:c>
      <x:c r="B44" s="28" t="str">
        <x:v>Selected-source cap reached</x:v>
      </x:c>
      <x:c r="C44" s="28" t="str">
        <x:v>Preserved; not re-researched in this bounded QA pass</x:v>
      </x:c>
    </x:row>
  </x:sheetData>
  <x:mergeCells>
    <x:mergeCell ref="A1:C1"/>
    <x:mergeCell ref="A2:C2"/>
  </x:mergeCells>
  <x:pageMargins left="0.7" right="0.7" top="0.75" bottom="0.75" header="0.3" footer="0.3"/>
  <x:tableParts count="1">
    <x:tablePart xmlns:r="http://schemas.openxmlformats.org/officeDocument/2006/relationships" r:id="R27b92273350e49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62" hidden="0" customWidth="1"/>
    <x:col min="5" max="5" width="32" hidden="0" customWidth="1"/>
    <x:col min="6" max="6" width="62" hidden="0" customWidth="1"/>
  </x:cols>
  <x:sheetData>
    <x:row r="1" ht="32" customHeight="1">
      <x:c r="A1" s="33" t="str">
        <x:v>IBD evidence QA — approval preparation</x:v>
      </x:c>
      <x:c r="B1" s="33"/>
      <x:c r="C1" s="33"/>
      <x:c r="D1" s="33"/>
      <x:c r="E1" s="33"/>
      <x:c r="F1" s="33"/>
    </x:row>
    <x:row r="2" ht="46" customHeight="1">
      <x:c r="A2" s="35" t="str">
        <x:v>Status: pending human review. No source or claim is approved. Complete decisions in the yellow columns on Sources and Claims.</x:v>
      </x:c>
      <x:c r="B2" s="35"/>
      <x:c r="C2" s="35"/>
      <x:c r="D2" s="35"/>
      <x:c r="E2" s="35"/>
      <x:c r="F2" s="35"/>
    </x:row>
    <x:row r="4">
      <x:c r="A4" s="36" t="str">
        <x:v>Metric</x:v>
      </x:c>
      <x:c r="B4" s="36" t="str">
        <x:v>Value</x:v>
      </x:c>
      <x:c r="C4" s="36" t="str">
        <x:v>Interpretation</x:v>
      </x:c>
      <x:c r="E4" s="59" t="str">
        <x:v>Critical QA finding</x:v>
      </x:c>
      <x:c r="F4" s="59" t="str">
        <x:v>Impact</x:v>
      </x:c>
    </x:row>
    <x:row r="5" ht="58" customHeight="1">
      <x:c r="A5" s="46" t="str">
        <x:v>Total sources</x:v>
      </x:c>
      <x:c r="B5" s="55" t="n">
        <x:f>COUNTA('Sources'!$A$5:$A$29)</x:f>
        <x:v>25</x:v>
      </x:c>
      <x:c r="C5" s="43" t="str">
        <x:v>Selected source records preserved</x:v>
      </x:c>
      <x:c r="E5" s="60" t="str">
        <x:v>11 incorrect full-text mappings</x:v>
      </x:c>
      <x:c r="F5" s="60" t="str">
        <x:v>Every original public-full-text DOI/PMCID mapping was wrong or invalid. Correct access routes are in Sources.</x:v>
      </x:c>
    </x:row>
    <x:row r="6" ht="58" customHeight="1">
      <x:c r="A6" s="47" t="str">
        <x:v>Ready sources</x:v>
      </x:c>
      <x:c r="B6" s="56" t="n">
        <x:f>COUNTIF('Sources'!$AI$5:$AI$29,"ready_for_review")</x:f>
        <x:v>8</x:v>
      </x:c>
      <x:c r="C6" s="44" t="str">
        <x:v>Still require human approval</x:v>
      </x:c>
      <x:c r="E6" s="61" t="str">
        <x:v>2 Oxford 403 issues resolved</x:v>
      </x:c>
      <x:c r="F6" s="61" t="str">
        <x:v>Retained passages are directly verifiable on authoritative pages without bypassing restrictions.</x:v>
      </x:c>
    </x:row>
    <x:row r="7" ht="58" customHeight="1">
      <x:c r="A7" s="47" t="str">
        <x:v>Sources needing verification</x:v>
      </x:c>
      <x:c r="B7" s="56" t="n">
        <x:f>COUNTIF('Sources'!$AI$5:$AI$29,"needs_verification")+COUNTIF('Sources'!$AI$5:$AI$29,"insufficient_access")+COUNTIF('Sources'!$AI$5:$AI$29,"superseded")</x:f>
        <x:v>17</x:v>
      </x:c>
      <x:c r="C7" s="44" t="str">
        <x:v>Includes insufficient access and superseded review</x:v>
      </x:c>
      <x:c r="E7" s="61" t="str">
        <x:v>2017 ESPEN guideline superseded</x:v>
      </x:c>
      <x:c r="F7" s="61" t="str">
        <x:v>Do not approve as current guidance without comparison to the 2023 update.</x:v>
      </x:c>
    </x:row>
    <x:row r="8" ht="58" customHeight="1">
      <x:c r="A8" s="47" t="str">
        <x:v>Reject-recommended sources</x:v>
      </x:c>
      <x:c r="B8" s="56" t="n">
        <x:f>COUNTIF('Sources'!$AI$5:$AI$29,"reject_recommended")</x:f>
        <x:v>0</x:v>
      </x:c>
      <x:c r="C8" s="44" t="str">
        <x:v>No automatic rejection</x:v>
      </x:c>
      <x:c r="E8" s="62" t="str">
        <x:v>Human decisions</x:v>
      </x:c>
      <x:c r="F8" s="62" t="str">
        <x:v>All user decision, edited-claim, notes, and reviewer-note fields are blank.</x:v>
      </x:c>
    </x:row>
    <x:row r="9" ht="34" customHeight="1">
      <x:c r="A9" s="47" t="str">
        <x:v>Total claims</x:v>
      </x:c>
      <x:c r="B9" s="56" t="n">
        <x:f>COUNTA('Claims'!$A$5:$A$99)</x:f>
        <x:v>95</x:v>
      </x:c>
      <x:c r="C9" s="44" t="str">
        <x:v>Original claim IDs preserved</x:v>
      </x:c>
    </x:row>
    <x:row r="10" ht="34" customHeight="1">
      <x:c r="A10" s="47" t="str">
        <x:v>Ready claims</x:v>
      </x:c>
      <x:c r="B10" s="56" t="n">
        <x:f>COUNTIF('Claims'!$AD$5:$AD$99,"ready_for_review")</x:f>
        <x:v>2</x:v>
      </x:c>
      <x:c r="C10" s="44" t="str">
        <x:v>Still require human approval</x:v>
      </x:c>
    </x:row>
    <x:row r="11" ht="34" customHeight="1">
      <x:c r="A11" s="47" t="str">
        <x:v>Revision-recommended claims</x:v>
      </x:c>
      <x:c r="B11" s="56" t="n">
        <x:f>COUNTIF('Claims'!$AD$5:$AD$99,"wording_revision_recommended")</x:f>
        <x:v>53</x:v>
      </x:c>
      <x:c r="C11" s="44" t="str">
        <x:v>Original wording preserved beside proposal</x:v>
      </x:c>
    </x:row>
    <x:row r="12" ht="34" customHeight="1">
      <x:c r="A12" s="47" t="str">
        <x:v>Claims needing more evidence</x:v>
      </x:c>
      <x:c r="B12" s="56" t="n">
        <x:f>COUNTIF('Claims'!$AD$5:$AD$99,"needs_more_evidence")</x:f>
        <x:v>3</x:v>
      </x:c>
      <x:c r="C12" s="44" t="str">
        <x:v>Do not approve without resolving evidence gap</x:v>
      </x:c>
    </x:row>
    <x:row r="13" ht="34" customHeight="1">
      <x:c r="A13" s="47" t="str">
        <x:v>Reject-recommended claims</x:v>
      </x:c>
      <x:c r="B13" s="56" t="n">
        <x:f>COUNTIF('Claims'!$AD$5:$AD$99,"reject_recommended")</x:f>
        <x:v>37</x:v>
      </x:c>
      <x:c r="C13" s="44" t="str">
        <x:v>Methods/background/unsafe or non-atomic statements</x:v>
      </x:c>
    </x:row>
    <x:row r="14" ht="34" customHeight="1">
      <x:c r="A14" s="47" t="str">
        <x:v>True conflicts</x:v>
      </x:c>
      <x:c r="B14" s="56" t="n">
        <x:f>COUNTIF('Conflict Review'!$E$5:$E$84,"true_conflict")</x:f>
        <x:v>0</x:v>
      </x:c>
      <x:c r="C14" s="44" t="str">
        <x:v>No opposing findings identified in the 80 generated flags</x:v>
      </x:c>
    </x:row>
    <x:row r="15" ht="34" customHeight="1">
      <x:c r="A15" s="47" t="str">
        <x:v>Non-comparable flags</x:v>
      </x:c>
      <x:c r="B15" s="56" t="n">
        <x:f>COUNTA('Conflict Review'!$A$5:$A$84)-B14</x:f>
        <x:v>80</x:v>
      </x:c>
      <x:c r="C15" s="44" t="str">
        <x:v>All original flags retained and classified</x:v>
      </x:c>
    </x:row>
    <x:row r="16" ht="34" customHeight="1">
      <x:c r="A16" s="47" t="str">
        <x:v>Abstract-only sources remaining</x:v>
      </x:c>
      <x:c r="B16" s="56" t="n">
        <x:f>COUNTIF('Abstract-Only Review'!$E$5:$E$13,"No")</x:f>
        <x:v>3</x:v>
      </x:c>
      <x:c r="C16" s="44" t="str">
        <x:v>From the original set of nine</x:v>
      </x:c>
    </x:row>
    <x:row r="17" ht="34" customHeight="1">
      <x:c r="A17" s="47" t="str">
        <x:v>Unresolved access issues</x:v>
      </x:c>
      <x:c r="B17" s="56" t="n">
        <x:f>COUNTIF('Access and Verification Issues'!$F$5:$F$20,"unresolved")</x:f>
        <x:v>4</x:v>
      </x:c>
      <x:c r="C17" s="44" t="str">
        <x:v>Includes SRC-013 after correcting its bad mapping</x:v>
      </x:c>
    </x:row>
    <x:row r="18" ht="34" customHeight="1">
      <x:c r="A18" s="47" t="str">
        <x:v>Evidence gaps</x:v>
      </x:c>
      <x:c r="B18" s="56" t="n">
        <x:f>COUNTA('Coverage Matrix'!$A$5:$A$20)-COUNTIF('Coverage Matrix'!$D$5:$D$20,"acceptable_for_mvp")</x:f>
        <x:v>10</x:v>
      </x:c>
      <x:c r="C18" s="44" t="str">
        <x:v>Requires answer limitation, future research, or feature block</x:v>
      </x:c>
    </x:row>
    <x:row r="19" ht="34" customHeight="1">
      <x:c r="A19" s="48" t="str">
        <x:v>MVP-blocking gaps</x:v>
      </x:c>
      <x:c r="B19" s="57" t="n">
        <x:f>COUNTIF('Coverage Matrix'!$D$5:$D$20,"blocks_feature_scope")</x:f>
        <x:v>6</x:v>
      </x:c>
      <x:c r="C19" s="45" t="str">
        <x:v>Blocks only the named feature scope</x:v>
      </x:c>
    </x:row>
  </x:sheetData>
  <x:mergeCells>
    <x:mergeCell ref="A1:F1"/>
    <x:mergeCell ref="A2:F2"/>
  </x:mergeCells>
  <x:pageMargins left="0.7" right="0.7" top="0.75" bottom="0.75" header="0.3" footer="0.3"/>
</x:worksheet>
</file>